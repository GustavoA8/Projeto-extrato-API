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Aplicacoes" sheetId="3" state="visible" r:id="rId3"/>
    <sheet xmlns:r="http://schemas.openxmlformats.org/officeDocument/2006/relationships" name="Geral" sheetId="4" state="visible" r:id="rId4"/>
  </sheets>
  <definedNames>
    <definedName name="_xlnm.Print_Titles" localSheetId="0">'Resumo'!$12:$12</definedName>
    <definedName name="_xlnm.Print_Area" localSheetId="0">'Resumo'!$B$1:$E$18</definedName>
    <definedName name="_xlnm.Print_Titles" localSheetId="1">'Tarifas'!$12:$12</definedName>
    <definedName name="_xlnm.Print_Area" localSheetId="1">'Tarifas'!$B$1:$E$26</definedName>
    <definedName name="_xlnm.Print_Titles" localSheetId="2">'Aplicacoes'!$12:$12</definedName>
    <definedName name="_xlnm.Print_Area" localSheetId="2">'Aplicacoes'!$B$1:$E$37</definedName>
    <definedName name="_xlnm.Print_Titles" localSheetId="3">'Geral'!$12:$12</definedName>
    <definedName name="_xlnm.Print_Area" localSheetId="3">'Geral'!$B$1:$E$117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66CC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2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0" fillId="0" borderId="4" pivotButton="0" quotePrefix="0" xfId="0"/>
    <xf numFmtId="0" fontId="5" fillId="0" borderId="1" pivotButton="0" quotePrefix="0" xfId="0"/>
    <xf numFmtId="4" fontId="0" fillId="0" borderId="1" pivotButton="0" quotePrefix="0" xfId="0"/>
    <xf numFmtId="0" fontId="6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5" fillId="0" borderId="5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30" customWidth="1" min="3" max="3"/>
  </cols>
  <sheetData>
    <row r="2" ht="40" customHeight="1"/>
    <row r="4">
      <c r="B4" s="1" t="inlineStr">
        <is>
          <t>Nome:</t>
        </is>
      </c>
      <c r="C4" s="2" t="inlineStr">
        <is>
          <t>CONJUNTO RESID PARQUE IMPERIAL</t>
        </is>
      </c>
    </row>
    <row r="5">
      <c r="B5" s="1" t="inlineStr">
        <is>
          <t>Agência/Conta:</t>
        </is>
      </c>
      <c r="C5" s="2" t="inlineStr">
        <is>
          <t>0758/0058248-0</t>
        </is>
      </c>
    </row>
    <row r="6">
      <c r="B6" s="1" t="inlineStr">
        <is>
          <t>Período:</t>
        </is>
      </c>
      <c r="C6" s="2" t="inlineStr">
        <is>
          <t>01/02/2026 até 28/02/2026</t>
        </is>
      </c>
    </row>
    <row r="8">
      <c r="B8" s="3" t="inlineStr">
        <is>
          <t>SALDOS</t>
        </is>
      </c>
      <c r="C8" s="4" t="n"/>
    </row>
    <row r="9">
      <c r="B9" s="2" t="inlineStr">
        <is>
          <t>Saldo Inicial:</t>
        </is>
      </c>
      <c r="C9" s="5" t="n">
        <v>13905.47</v>
      </c>
    </row>
    <row r="10">
      <c r="B10" s="2" t="inlineStr">
        <is>
          <t>Saldo Final:</t>
        </is>
      </c>
      <c r="C10" s="5" t="n">
        <v>74496.11</v>
      </c>
    </row>
    <row r="12">
      <c r="B12" s="3" t="inlineStr">
        <is>
          <t>TOTALIZADORES</t>
        </is>
      </c>
      <c r="C12" s="4" t="n"/>
    </row>
    <row r="13">
      <c r="B13" s="2" t="inlineStr">
        <is>
          <t>Total Tarifas/Custas:</t>
        </is>
      </c>
      <c r="C13" s="6" t="n">
        <v>-302.6</v>
      </c>
    </row>
    <row r="14">
      <c r="B14" s="2" t="inlineStr">
        <is>
          <t>Total Créditos:</t>
        </is>
      </c>
      <c r="C14" s="7" t="n">
        <v>1291952.58</v>
      </c>
    </row>
    <row r="15">
      <c r="B15" s="2" t="inlineStr">
        <is>
          <t>Total Débitos:</t>
        </is>
      </c>
      <c r="C15" s="6" t="n">
        <v>-1231072.160000001</v>
      </c>
    </row>
    <row r="16">
      <c r="B16" s="2" t="inlineStr">
        <is>
          <t>Total Aplicações:</t>
        </is>
      </c>
      <c r="C16" s="5" t="n">
        <v>-696969.1800000001</v>
      </c>
    </row>
    <row r="18">
      <c r="B18" s="1" t="inlineStr">
        <is>
          <t>APLICAÇÕES</t>
        </is>
      </c>
      <c r="C18" s="8" t="n"/>
    </row>
    <row r="20">
      <c r="B20" s="9" t="inlineStr">
        <is>
          <t>APLICAÇÂO AUTOMATICA</t>
        </is>
      </c>
      <c r="C20" s="4" t="n"/>
    </row>
    <row r="21">
      <c r="B21" s="4" t="inlineStr">
        <is>
          <t>Saldo Inicial:</t>
        </is>
      </c>
      <c r="C21" s="10" t="n">
        <v>0</v>
      </c>
    </row>
    <row r="22">
      <c r="B22" s="4" t="inlineStr">
        <is>
          <t>Saldo Final:</t>
        </is>
      </c>
      <c r="C22" s="10" t="n">
        <v>0</v>
      </c>
    </row>
    <row r="24">
      <c r="B24" s="9" t="inlineStr">
        <is>
          <t>CDB</t>
        </is>
      </c>
      <c r="C24" s="4" t="n"/>
    </row>
    <row r="25">
      <c r="B25" s="4" t="inlineStr">
        <is>
          <t>Saldo Inicial:</t>
        </is>
      </c>
      <c r="C25" s="10" t="n">
        <v>0</v>
      </c>
    </row>
    <row r="26">
      <c r="B26" s="4" t="inlineStr">
        <is>
          <t>Saldo Final:</t>
        </is>
      </c>
      <c r="C26" s="10" t="n">
        <v>0</v>
      </c>
    </row>
  </sheetData>
  <mergeCells count="6">
    <mergeCell ref="B24:C24"/>
    <mergeCell ref="B2:C2"/>
    <mergeCell ref="B20:C20"/>
    <mergeCell ref="B18:C18"/>
    <mergeCell ref="B8:C8"/>
    <mergeCell ref="B12:C12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11" t="inlineStr">
        <is>
          <t>Itaú</t>
        </is>
      </c>
    </row>
    <row r="5">
      <c r="B5" s="1" t="inlineStr">
        <is>
          <t>Nome:</t>
        </is>
      </c>
      <c r="C5" s="2" t="inlineStr">
        <is>
          <t>CONJUNTO RESID PARQUE IMPERIAL</t>
        </is>
      </c>
      <c r="D5" s="12" t="inlineStr">
        <is>
          <t>Agência/Conta:</t>
        </is>
      </c>
      <c r="E5" s="2" t="inlineStr">
        <is>
          <t>0758/0058248-0</t>
        </is>
      </c>
    </row>
    <row r="6">
      <c r="B6" s="1" t="inlineStr">
        <is>
          <t>Data:</t>
        </is>
      </c>
      <c r="C6" s="2" t="inlineStr">
        <is>
          <t>01/02/2026 até 28/02/2026</t>
        </is>
      </c>
    </row>
    <row r="9">
      <c r="B9" s="13" t="inlineStr">
        <is>
          <t>APURAÇÃO TARIFAS BANCÁRIAS</t>
        </is>
      </c>
    </row>
    <row r="12">
      <c r="B12" s="14" t="inlineStr">
        <is>
          <t>Data</t>
        </is>
      </c>
      <c r="C12" s="14" t="inlineStr">
        <is>
          <t>Lançamento</t>
        </is>
      </c>
      <c r="D12" s="14" t="inlineStr">
        <is>
          <t>Debito (R$)</t>
        </is>
      </c>
    </row>
    <row r="13">
      <c r="B13" s="15" t="inlineStr">
        <is>
          <t>02/02/2026</t>
        </is>
      </c>
      <c r="C13" s="16" t="inlineStr">
        <is>
          <t>TAR/CUSTAS COBRANCA</t>
        </is>
      </c>
      <c r="D13" s="17" t="n">
        <v>-149.52</v>
      </c>
    </row>
    <row r="14">
      <c r="B14" s="15" t="inlineStr">
        <is>
          <t>03/02/2026</t>
        </is>
      </c>
      <c r="C14" s="16" t="inlineStr">
        <is>
          <t>TAR/CUSTAS COBRANCA</t>
        </is>
      </c>
      <c r="D14" s="17" t="n">
        <v>-3.56</v>
      </c>
    </row>
    <row r="15">
      <c r="B15" s="15" t="inlineStr">
        <is>
          <t>04/02/2026</t>
        </is>
      </c>
      <c r="C15" s="16" t="inlineStr">
        <is>
          <t>TAR/CUSTAS COBRANCA</t>
        </is>
      </c>
      <c r="D15" s="17" t="n">
        <v>-3.56</v>
      </c>
    </row>
    <row r="16">
      <c r="B16" s="15" t="inlineStr">
        <is>
          <t>11/02/2026</t>
        </is>
      </c>
      <c r="C16" s="16" t="inlineStr">
        <is>
          <t>TAR/CUSTAS COBRANCA</t>
        </is>
      </c>
      <c r="D16" s="17" t="n">
        <v>-3.56</v>
      </c>
    </row>
    <row r="17">
      <c r="B17" s="15" t="inlineStr">
        <is>
          <t>12/02/2026</t>
        </is>
      </c>
      <c r="C17" s="16" t="inlineStr">
        <is>
          <t>TAR/CUSTAS COBRANCA</t>
        </is>
      </c>
      <c r="D17" s="17" t="n">
        <v>-3.56</v>
      </c>
    </row>
    <row r="18">
      <c r="B18" s="15" t="inlineStr">
        <is>
          <t>13/02/2026</t>
        </is>
      </c>
      <c r="C18" s="16" t="inlineStr">
        <is>
          <t>TAR/CUSTAS COBRANCA</t>
        </is>
      </c>
      <c r="D18" s="17" t="n">
        <v>-24.92</v>
      </c>
    </row>
    <row r="19">
      <c r="B19" s="15" t="inlineStr">
        <is>
          <t>18/02/2026</t>
        </is>
      </c>
      <c r="C19" s="16" t="inlineStr">
        <is>
          <t>TAR/CUSTAS COBRANCA</t>
        </is>
      </c>
      <c r="D19" s="17" t="n">
        <v>-92.56</v>
      </c>
    </row>
    <row r="20">
      <c r="B20" s="15" t="inlineStr">
        <is>
          <t>20/02/2026</t>
        </is>
      </c>
      <c r="C20" s="16" t="inlineStr">
        <is>
          <t>TAR/CUSTAS COBRANCA</t>
        </is>
      </c>
      <c r="D20" s="17" t="n">
        <v>-10.68</v>
      </c>
    </row>
    <row r="21">
      <c r="B21" s="15" t="inlineStr">
        <is>
          <t>26/02/2026</t>
        </is>
      </c>
      <c r="C21" s="16" t="inlineStr">
        <is>
          <t>TAR/CUSTAS COBRANCA</t>
        </is>
      </c>
      <c r="D21" s="17" t="n">
        <v>-3.56</v>
      </c>
    </row>
    <row r="22">
      <c r="B22" s="15" t="inlineStr">
        <is>
          <t>27/02/2026</t>
        </is>
      </c>
      <c r="C22" s="16" t="inlineStr">
        <is>
          <t>TAR/CUSTAS COBRANCA</t>
        </is>
      </c>
      <c r="D22" s="17" t="n">
        <v>-7.12</v>
      </c>
    </row>
    <row r="23">
      <c r="B23" s="18" t="inlineStr">
        <is>
          <t>TOTAL</t>
        </is>
      </c>
      <c r="C23" s="4" t="n"/>
      <c r="D23" s="19">
        <f>SUM(D13:D22)</f>
        <v/>
      </c>
    </row>
  </sheetData>
  <mergeCells count="2">
    <mergeCell ref="B23:C23"/>
    <mergeCell ref="B2:C2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11" t="inlineStr">
        <is>
          <t>Itaú</t>
        </is>
      </c>
    </row>
    <row r="5">
      <c r="B5" s="1" t="inlineStr">
        <is>
          <t>Nome:</t>
        </is>
      </c>
      <c r="C5" s="2" t="inlineStr">
        <is>
          <t>CONJUNTO RESID PARQUE IMPERIAL</t>
        </is>
      </c>
      <c r="D5" s="1" t="inlineStr">
        <is>
          <t>Agência/Conta:</t>
        </is>
      </c>
      <c r="E5" s="2" t="inlineStr">
        <is>
          <t>0758/0058248-0</t>
        </is>
      </c>
    </row>
    <row r="6">
      <c r="B6" s="1" t="inlineStr">
        <is>
          <t>Período:</t>
        </is>
      </c>
      <c r="C6" s="2" t="inlineStr">
        <is>
          <t>01/02/2026 até 28/02/2026</t>
        </is>
      </c>
      <c r="D6" s="4" t="n"/>
      <c r="E6" s="4" t="n"/>
    </row>
    <row r="9">
      <c r="B9" s="13" t="inlineStr">
        <is>
          <t>APLICAÇÕES</t>
        </is>
      </c>
    </row>
    <row r="12">
      <c r="B12" s="20" t="inlineStr">
        <is>
          <t>GRUPO: APLICAÇÂO AUTOMATICA</t>
        </is>
      </c>
    </row>
    <row r="13">
      <c r="B13" s="14" t="inlineStr">
        <is>
          <t>Data</t>
        </is>
      </c>
      <c r="C13" s="14" t="inlineStr">
        <is>
          <t>Lançamento</t>
        </is>
      </c>
      <c r="D13" s="14" t="inlineStr">
        <is>
          <t>Aplicação (R$)</t>
        </is>
      </c>
      <c r="E13" s="14" t="inlineStr">
        <is>
          <t>Resgate (R$)</t>
        </is>
      </c>
    </row>
    <row r="14">
      <c r="B14" s="15" t="inlineStr">
        <is>
          <t>04/02/2026</t>
        </is>
      </c>
      <c r="C14" s="16" t="inlineStr">
        <is>
          <t>RENDIMENTOS REND PAGO APLIC AUT MAIS</t>
        </is>
      </c>
      <c r="D14" s="17" t="n"/>
      <c r="E14" s="21" t="n">
        <v>0.01</v>
      </c>
    </row>
    <row r="15">
      <c r="B15" s="15" t="inlineStr">
        <is>
          <t>05/02/2026</t>
        </is>
      </c>
      <c r="C15" s="16" t="inlineStr">
        <is>
          <t>RENDIMENTOS REND PAGO APLIC AUT MAIS</t>
        </is>
      </c>
      <c r="D15" s="17" t="n"/>
      <c r="E15" s="21" t="n">
        <v>0.28</v>
      </c>
    </row>
    <row r="16">
      <c r="B16" s="15" t="inlineStr">
        <is>
          <t>06/02/2026</t>
        </is>
      </c>
      <c r="C16" s="16" t="inlineStr">
        <is>
          <t>RENDIMENTOS REND PAGO APLIC AUT MAIS</t>
        </is>
      </c>
      <c r="D16" s="17" t="n"/>
      <c r="E16" s="21" t="n">
        <v>0.28</v>
      </c>
    </row>
    <row r="17">
      <c r="B17" s="15" t="inlineStr">
        <is>
          <t>09/02/2026</t>
        </is>
      </c>
      <c r="C17" s="16" t="inlineStr">
        <is>
          <t>RENDIMENTOS REND PAGO APLIC AUT MAIS</t>
        </is>
      </c>
      <c r="D17" s="17" t="n"/>
      <c r="E17" s="21" t="n">
        <v>0.3</v>
      </c>
    </row>
    <row r="18">
      <c r="B18" s="15" t="inlineStr">
        <is>
          <t>10/02/2026</t>
        </is>
      </c>
      <c r="C18" s="16" t="inlineStr">
        <is>
          <t>RENDIMENTOS REND PAGO APLIC AUT MAIS</t>
        </is>
      </c>
      <c r="D18" s="17" t="n"/>
      <c r="E18" s="21" t="n">
        <v>8.6</v>
      </c>
    </row>
    <row r="19">
      <c r="B19" s="15" t="inlineStr">
        <is>
          <t>19/02/2026</t>
        </is>
      </c>
      <c r="C19" s="16" t="inlineStr">
        <is>
          <t>RENDIMENTOS REND PAGO APLIC AUT MAIS</t>
        </is>
      </c>
      <c r="D19" s="17" t="n"/>
      <c r="E19" s="21" t="n">
        <v>1.97</v>
      </c>
    </row>
    <row r="20">
      <c r="B20" s="15" t="inlineStr">
        <is>
          <t>20/02/2026</t>
        </is>
      </c>
      <c r="C20" s="16" t="inlineStr">
        <is>
          <t>RENDIMENTOS REND PAGO APLIC AUT MAIS</t>
        </is>
      </c>
      <c r="D20" s="17" t="n"/>
      <c r="E20" s="21" t="n">
        <v>0.35</v>
      </c>
    </row>
    <row r="21">
      <c r="B21" s="15" t="inlineStr">
        <is>
          <t>23/02/2026</t>
        </is>
      </c>
      <c r="C21" s="16" t="inlineStr">
        <is>
          <t>RENDIMENTOS REND PAGO APLIC AUT MAIS</t>
        </is>
      </c>
      <c r="D21" s="17" t="n"/>
      <c r="E21" s="21" t="n">
        <v>0.14</v>
      </c>
    </row>
    <row r="22">
      <c r="B22" s="15" t="inlineStr">
        <is>
          <t>24/02/2026</t>
        </is>
      </c>
      <c r="C22" s="16" t="inlineStr">
        <is>
          <t>RENDIMENTOS REND PAGO APLIC AUT MAIS</t>
        </is>
      </c>
      <c r="D22" s="17" t="n"/>
      <c r="E22" s="21" t="n">
        <v>0.36</v>
      </c>
    </row>
    <row r="23">
      <c r="B23" s="15" t="inlineStr">
        <is>
          <t>25/02/2026</t>
        </is>
      </c>
      <c r="C23" s="16" t="inlineStr">
        <is>
          <t>RENDIMENTOS REND PAGO APLIC AUT MAIS</t>
        </is>
      </c>
      <c r="D23" s="17" t="n"/>
      <c r="E23" s="21" t="n">
        <v>0.53</v>
      </c>
    </row>
    <row r="24">
      <c r="B24" s="18" t="inlineStr">
        <is>
          <t>TOTAL</t>
        </is>
      </c>
      <c r="C24" s="4" t="n"/>
      <c r="D24" s="19">
        <f>SUM(D14:D23)</f>
        <v/>
      </c>
      <c r="E24" s="19">
        <f>SUM(E14:E23)</f>
        <v/>
      </c>
    </row>
    <row r="25">
      <c r="D25" s="2" t="inlineStr">
        <is>
          <t>Saldo Inicial:</t>
        </is>
      </c>
      <c r="E25" s="10">
        <f>Resumo!C21</f>
        <v/>
      </c>
    </row>
    <row r="26">
      <c r="D26" s="2" t="inlineStr">
        <is>
          <t>Saldo Final:</t>
        </is>
      </c>
      <c r="E26" s="10">
        <f>Resumo!C22</f>
        <v/>
      </c>
    </row>
    <row r="27">
      <c r="D27" s="2" t="inlineStr">
        <is>
          <t>Rendimento:</t>
        </is>
      </c>
      <c r="E27" s="10">
        <f>Resumo!C22-(Resumo!C21+(-D24)-E24)</f>
        <v/>
      </c>
    </row>
    <row r="29">
      <c r="B29" s="22" t="inlineStr">
        <is>
          <t>GRUPO: CDB</t>
        </is>
      </c>
      <c r="C29" s="23" t="n"/>
      <c r="D29" s="23" t="n"/>
      <c r="E29" s="24" t="n"/>
    </row>
    <row r="30">
      <c r="B30" s="14" t="inlineStr">
        <is>
          <t>Data</t>
        </is>
      </c>
      <c r="C30" s="14" t="inlineStr">
        <is>
          <t>Lançamento</t>
        </is>
      </c>
      <c r="D30" s="14" t="inlineStr">
        <is>
          <t>Aplicação (R$)</t>
        </is>
      </c>
      <c r="E30" s="14" t="inlineStr">
        <is>
          <t>Resgate (R$)</t>
        </is>
      </c>
    </row>
    <row r="31">
      <c r="B31" s="15" t="inlineStr">
        <is>
          <t>10/02/2026</t>
        </is>
      </c>
      <c r="C31" s="16" t="inlineStr">
        <is>
          <t>APLICACAO CDB DI</t>
        </is>
      </c>
      <c r="D31" s="17" t="n">
        <v>-696982</v>
      </c>
      <c r="E31" s="21" t="n"/>
    </row>
    <row r="32">
      <c r="B32" s="18" t="inlineStr">
        <is>
          <t>TOTAL</t>
        </is>
      </c>
      <c r="C32" s="4" t="n"/>
      <c r="D32" s="19">
        <f>SUM(D31:D31)</f>
        <v/>
      </c>
      <c r="E32" s="19">
        <f>SUM(E31:E31)</f>
        <v/>
      </c>
    </row>
    <row r="33">
      <c r="D33" s="2" t="inlineStr">
        <is>
          <t>Saldo Inicial:</t>
        </is>
      </c>
      <c r="E33" s="10">
        <f>Resumo!C25</f>
        <v/>
      </c>
    </row>
    <row r="34">
      <c r="D34" s="2" t="inlineStr">
        <is>
          <t>Saldo Final:</t>
        </is>
      </c>
      <c r="E34" s="10">
        <f>Resumo!C26</f>
        <v/>
      </c>
    </row>
    <row r="35">
      <c r="D35" s="2" t="inlineStr">
        <is>
          <t>Rendimento:</t>
        </is>
      </c>
      <c r="E35" s="10">
        <f>Resumo!C26-(Resumo!C25+(-D32)-E32)</f>
        <v/>
      </c>
    </row>
    <row r="37">
      <c r="E37" s="5" t="n"/>
    </row>
  </sheetData>
  <mergeCells count="5">
    <mergeCell ref="B24:C24"/>
    <mergeCell ref="B2:C2"/>
    <mergeCell ref="B12:E12"/>
    <mergeCell ref="B29:E29"/>
    <mergeCell ref="B32:C32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16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11" t="inlineStr">
        <is>
          <t>Itaú</t>
        </is>
      </c>
    </row>
    <row r="5">
      <c r="B5" s="1" t="inlineStr">
        <is>
          <t>Nome:</t>
        </is>
      </c>
      <c r="C5" s="2" t="inlineStr">
        <is>
          <t>CONJUNTO RESID PARQUE IMPERIAL</t>
        </is>
      </c>
      <c r="D5" s="12" t="inlineStr">
        <is>
          <t>Agência/Conta:</t>
        </is>
      </c>
      <c r="E5" s="2" t="inlineStr">
        <is>
          <t>0758/0058248-0</t>
        </is>
      </c>
    </row>
    <row r="6">
      <c r="B6" s="1" t="inlineStr">
        <is>
          <t>Data:</t>
        </is>
      </c>
      <c r="C6" s="2" t="inlineStr">
        <is>
          <t>01/02/2026 até 28/02/2026</t>
        </is>
      </c>
    </row>
    <row r="9">
      <c r="B9" s="13" t="inlineStr">
        <is>
          <t>GERAL</t>
        </is>
      </c>
    </row>
    <row r="10">
      <c r="B10" s="13" t="inlineStr">
        <is>
          <t>CRÉDITOS</t>
        </is>
      </c>
    </row>
    <row r="12">
      <c r="B12" s="14" t="inlineStr">
        <is>
          <t>Data</t>
        </is>
      </c>
      <c r="C12" s="14" t="inlineStr">
        <is>
          <t>Lançamento</t>
        </is>
      </c>
      <c r="D12" s="14" t="inlineStr">
        <is>
          <t>Credito (R$)</t>
        </is>
      </c>
    </row>
    <row r="13">
      <c r="B13" s="15" t="inlineStr">
        <is>
          <t>02/02/2026</t>
        </is>
      </c>
      <c r="C13" s="16" t="inlineStr">
        <is>
          <t>BOLETOS RECEBIDOS</t>
        </is>
      </c>
      <c r="D13" s="21" t="n">
        <v>274454.35</v>
      </c>
    </row>
    <row r="14">
      <c r="B14" s="15" t="inlineStr">
        <is>
          <t>03/02/2026</t>
        </is>
      </c>
      <c r="C14" s="16" t="inlineStr">
        <is>
          <t>AG. TEF 8335.34099-1</t>
        </is>
      </c>
      <c r="D14" s="21" t="n">
        <v>696981.58</v>
      </c>
    </row>
    <row r="15">
      <c r="B15" s="15" t="inlineStr">
        <is>
          <t>03/02/2026</t>
        </is>
      </c>
      <c r="C15" s="16" t="inlineStr">
        <is>
          <t>TED RECEBIDA 237.1067.FLAVIO J N</t>
        </is>
      </c>
      <c r="D15" s="21" t="n">
        <v>11244.1</v>
      </c>
    </row>
    <row r="16">
      <c r="B16" s="15" t="inlineStr">
        <is>
          <t>03/02/2026</t>
        </is>
      </c>
      <c r="C16" s="16" t="inlineStr">
        <is>
          <t>BOLETOS RECEBIDOS  03/02S</t>
        </is>
      </c>
      <c r="D16" s="21" t="n">
        <v>6544.4</v>
      </c>
    </row>
    <row r="17">
      <c r="B17" s="15" t="inlineStr">
        <is>
          <t>04/02/2026</t>
        </is>
      </c>
      <c r="C17" s="16" t="inlineStr">
        <is>
          <t>BOLETOS RECEBIDOS  04/02S</t>
        </is>
      </c>
      <c r="D17" s="21" t="n">
        <v>6544.4</v>
      </c>
    </row>
    <row r="18">
      <c r="B18" s="15" t="inlineStr">
        <is>
          <t>11/02/2026</t>
        </is>
      </c>
      <c r="C18" s="16" t="inlineStr">
        <is>
          <t>BOLETOS RECEBIDOS  11/02S</t>
        </is>
      </c>
      <c r="D18" s="21" t="n">
        <v>5587.33</v>
      </c>
    </row>
    <row r="19">
      <c r="B19" s="15" t="inlineStr">
        <is>
          <t>12/02/2026</t>
        </is>
      </c>
      <c r="C19" s="16" t="inlineStr">
        <is>
          <t>TED RECEBIDA 422.0115.MARCOS C C</t>
        </is>
      </c>
      <c r="D19" s="21" t="n">
        <v>66666.67</v>
      </c>
    </row>
    <row r="20">
      <c r="B20" s="15" t="inlineStr">
        <is>
          <t>12/02/2026</t>
        </is>
      </c>
      <c r="C20" s="16" t="inlineStr">
        <is>
          <t>BOLETOS RECEBIDOS  12/02S</t>
        </is>
      </c>
      <c r="D20" s="21" t="n">
        <v>5587.33</v>
      </c>
    </row>
    <row r="21">
      <c r="B21" s="15" t="inlineStr">
        <is>
          <t>13/02/2026</t>
        </is>
      </c>
      <c r="C21" s="16" t="inlineStr">
        <is>
          <t>BOLETOS RECEBIDOS  13/02S</t>
        </is>
      </c>
      <c r="D21" s="21" t="n">
        <v>38344.39</v>
      </c>
    </row>
    <row r="22">
      <c r="B22" s="15" t="inlineStr">
        <is>
          <t>18/02/2026</t>
        </is>
      </c>
      <c r="C22" s="16" t="inlineStr">
        <is>
          <t>BOLETOS RECEBIDOS</t>
        </is>
      </c>
      <c r="D22" s="21" t="n">
        <v>144078.6</v>
      </c>
    </row>
    <row r="23">
      <c r="B23" s="15" t="inlineStr">
        <is>
          <t>20/02/2026</t>
        </is>
      </c>
      <c r="C23" s="16" t="inlineStr">
        <is>
          <t>BOLETOS RECEBIDOS  20/02S</t>
        </is>
      </c>
      <c r="D23" s="21" t="n">
        <v>17481.18</v>
      </c>
    </row>
    <row r="24">
      <c r="B24" s="15" t="inlineStr">
        <is>
          <t>26/02/2026</t>
        </is>
      </c>
      <c r="C24" s="16" t="inlineStr">
        <is>
          <t>BOLETOS RECEBIDOS  26/02S</t>
        </is>
      </c>
      <c r="D24" s="21" t="n">
        <v>6544.4</v>
      </c>
    </row>
    <row r="25">
      <c r="B25" s="15" t="inlineStr">
        <is>
          <t>27/02/2026</t>
        </is>
      </c>
      <c r="C25" s="16" t="inlineStr">
        <is>
          <t>BOLETOS RECEBIDOS  27/02S</t>
        </is>
      </c>
      <c r="D25" s="21" t="n">
        <v>11893.85</v>
      </c>
    </row>
    <row r="26">
      <c r="B26" s="18" t="inlineStr">
        <is>
          <t>TOTAL</t>
        </is>
      </c>
      <c r="C26" s="4" t="n"/>
      <c r="D26" s="19">
        <f>SUM(D13:D25)</f>
        <v/>
      </c>
      <c r="E26" s="19">
        <f>SUM(E13:E25)</f>
        <v/>
      </c>
    </row>
    <row r="27">
      <c r="B27" s="13" t="inlineStr">
        <is>
          <t>DÉBITOS</t>
        </is>
      </c>
    </row>
    <row r="29">
      <c r="B29" s="14" t="inlineStr">
        <is>
          <t>Data</t>
        </is>
      </c>
      <c r="C29" s="14" t="inlineStr">
        <is>
          <t>Lançamento</t>
        </is>
      </c>
      <c r="D29" s="14" t="inlineStr">
        <is>
          <t>Debito (R$)</t>
        </is>
      </c>
    </row>
    <row r="30">
      <c r="B30" s="15" t="inlineStr">
        <is>
          <t>02/02/2026</t>
        </is>
      </c>
      <c r="C30" s="16" t="inlineStr">
        <is>
          <t>SISPAG SALARIOS</t>
        </is>
      </c>
      <c r="D30" s="17" t="n">
        <v>-1236.08</v>
      </c>
    </row>
    <row r="31">
      <c r="B31" s="15" t="inlineStr">
        <is>
          <t>02/02/2026</t>
        </is>
      </c>
      <c r="C31" s="16" t="inlineStr">
        <is>
          <t>SISPAG FORNECEDORES</t>
        </is>
      </c>
      <c r="D31" s="17" t="n">
        <v>-7669.62</v>
      </c>
    </row>
    <row r="32">
      <c r="B32" s="15" t="inlineStr">
        <is>
          <t>03/02/2026</t>
        </is>
      </c>
      <c r="C32" s="16" t="inlineStr">
        <is>
          <t>SISPAG FORNECEDORES</t>
        </is>
      </c>
      <c r="D32" s="17" t="n">
        <v>-36609.84</v>
      </c>
    </row>
    <row r="33">
      <c r="B33" s="15" t="inlineStr">
        <is>
          <t>04/02/2026</t>
        </is>
      </c>
      <c r="C33" s="16" t="inlineStr">
        <is>
          <t>SISPAG FORNECEDORES</t>
        </is>
      </c>
      <c r="D33" s="17" t="n">
        <v>-1747.15</v>
      </c>
    </row>
    <row r="34">
      <c r="B34" s="15" t="inlineStr">
        <is>
          <t>04/02/2026</t>
        </is>
      </c>
      <c r="C34" s="16" t="inlineStr">
        <is>
          <t>SISPAG FORNECEDORES</t>
        </is>
      </c>
      <c r="D34" s="17" t="n">
        <v>-5511</v>
      </c>
    </row>
    <row r="35">
      <c r="B35" s="15" t="inlineStr">
        <is>
          <t>05/02/2026</t>
        </is>
      </c>
      <c r="C35" s="16" t="inlineStr">
        <is>
          <t>SISPAG SALARIOS</t>
        </is>
      </c>
      <c r="D35" s="17" t="n">
        <v>-17487.33</v>
      </c>
    </row>
    <row r="36">
      <c r="B36" s="15" t="inlineStr">
        <is>
          <t>05/02/2026</t>
        </is>
      </c>
      <c r="C36" s="16" t="inlineStr">
        <is>
          <t>SISPAG FORNECEDORES PAG TIT 109643387295</t>
        </is>
      </c>
      <c r="D36" s="17" t="n">
        <v>-857.37</v>
      </c>
    </row>
    <row r="37">
      <c r="B37" s="15" t="inlineStr">
        <is>
          <t>05/02/2026</t>
        </is>
      </c>
      <c r="C37" s="16" t="inlineStr">
        <is>
          <t>SISPAG FORNECEDORES PAG TIT 157000441501</t>
        </is>
      </c>
      <c r="D37" s="17" t="n">
        <v>-14490</v>
      </c>
    </row>
    <row r="38">
      <c r="B38" s="15" t="inlineStr">
        <is>
          <t>05/02/2026</t>
        </is>
      </c>
      <c r="C38" s="16" t="inlineStr">
        <is>
          <t>SISPAG FORNECEDORES 97871934031638</t>
        </is>
      </c>
      <c r="D38" s="17" t="n">
        <v>-3208.59</v>
      </c>
    </row>
    <row r="39">
      <c r="B39" s="15" t="inlineStr">
        <is>
          <t>05/02/2026</t>
        </is>
      </c>
      <c r="C39" s="16" t="inlineStr">
        <is>
          <t>SISPAG FORNECEDORES VIVOFIXONA</t>
        </is>
      </c>
      <c r="D39" s="17" t="n">
        <v>-132.29</v>
      </c>
    </row>
    <row r="40">
      <c r="B40" s="15" t="inlineStr">
        <is>
          <t>05/02/2026</t>
        </is>
      </c>
      <c r="C40" s="16" t="inlineStr">
        <is>
          <t>SISPAG FORNECEDORES PAG TIT BANCO 403</t>
        </is>
      </c>
      <c r="D40" s="17" t="n">
        <v>-1200</v>
      </c>
    </row>
    <row r="41">
      <c r="B41" s="15" t="inlineStr">
        <is>
          <t>05/02/2026</t>
        </is>
      </c>
      <c r="C41" s="16" t="inlineStr">
        <is>
          <t>SISPAG FORNECEDORES PAG TIT BANCO 237</t>
        </is>
      </c>
      <c r="D41" s="17" t="n">
        <v>-9091.83</v>
      </c>
    </row>
    <row r="42">
      <c r="B42" s="15" t="inlineStr">
        <is>
          <t>06/02/2026</t>
        </is>
      </c>
      <c r="C42" s="16" t="inlineStr">
        <is>
          <t>SISPAG FORNECEDORES</t>
        </is>
      </c>
      <c r="D42" s="17" t="n">
        <v>-12514.63</v>
      </c>
    </row>
    <row r="43">
      <c r="B43" s="15" t="inlineStr">
        <is>
          <t>06/02/2026</t>
        </is>
      </c>
      <c r="C43" s="16" t="inlineStr">
        <is>
          <t>SISPAG FORNECEDORES</t>
        </is>
      </c>
      <c r="D43" s="17" t="n">
        <v>-523.9</v>
      </c>
    </row>
    <row r="44">
      <c r="B44" s="15" t="inlineStr">
        <is>
          <t>06/02/2026</t>
        </is>
      </c>
      <c r="C44" s="16" t="inlineStr">
        <is>
          <t>SISPAG FORNECEDORES 97874477031692</t>
        </is>
      </c>
      <c r="D44" s="17" t="n">
        <v>-42173.41</v>
      </c>
    </row>
    <row r="45">
      <c r="B45" s="15" t="inlineStr">
        <is>
          <t>06/02/2026</t>
        </is>
      </c>
      <c r="C45" s="16" t="inlineStr">
        <is>
          <t>SISPAG FORNECEDORES PAG TIT BANCO 033</t>
        </is>
      </c>
      <c r="D45" s="17" t="n">
        <v>-715.12</v>
      </c>
    </row>
    <row r="46">
      <c r="B46" s="15" t="inlineStr">
        <is>
          <t>06/02/2026</t>
        </is>
      </c>
      <c r="C46" s="16" t="inlineStr">
        <is>
          <t>SISPAG FORNECEDORES PAG TIT BANCO 001</t>
        </is>
      </c>
      <c r="D46" s="17" t="n">
        <v>-197.46</v>
      </c>
    </row>
    <row r="47">
      <c r="B47" s="15" t="inlineStr">
        <is>
          <t>09/02/2026</t>
        </is>
      </c>
      <c r="C47" s="16" t="inlineStr">
        <is>
          <t>SISPAG TRIBUTOS PM S PAULO</t>
        </is>
      </c>
      <c r="D47" s="17" t="n">
        <v>-2318</v>
      </c>
    </row>
    <row r="48">
      <c r="B48" s="15" t="inlineStr">
        <is>
          <t>09/02/2026</t>
        </is>
      </c>
      <c r="C48" s="16" t="inlineStr">
        <is>
          <t>SISPAG FORNECEDORES PAG TIT BANCO 422</t>
        </is>
      </c>
      <c r="D48" s="17" t="n">
        <v>-26500</v>
      </c>
    </row>
    <row r="49">
      <c r="B49" s="15" t="inlineStr">
        <is>
          <t>10/02/2026</t>
        </is>
      </c>
      <c r="C49" s="16" t="inlineStr">
        <is>
          <t>SISPAG FORNECEDORES</t>
        </is>
      </c>
      <c r="D49" s="17" t="n">
        <v>-56987.99</v>
      </c>
    </row>
    <row r="50">
      <c r="B50" s="15" t="inlineStr">
        <is>
          <t>10/02/2026</t>
        </is>
      </c>
      <c r="C50" s="16" t="inlineStr">
        <is>
          <t>SISPAG FORNECEDORES</t>
        </is>
      </c>
      <c r="D50" s="17" t="n">
        <v>-6249.85</v>
      </c>
    </row>
    <row r="51">
      <c r="B51" s="15" t="inlineStr">
        <is>
          <t>10/02/2026</t>
        </is>
      </c>
      <c r="C51" s="16" t="inlineStr">
        <is>
          <t>SISPAG FORNECEDORES</t>
        </is>
      </c>
      <c r="D51" s="17" t="n">
        <v>-22261.92</v>
      </c>
    </row>
    <row r="52">
      <c r="B52" s="15" t="inlineStr">
        <is>
          <t>10/02/2026</t>
        </is>
      </c>
      <c r="C52" s="16" t="inlineStr">
        <is>
          <t>SISPAG FORNECEDORES PAG TIT BANCO 033</t>
        </is>
      </c>
      <c r="D52" s="17" t="n">
        <v>-470</v>
      </c>
    </row>
    <row r="53">
      <c r="B53" s="15" t="inlineStr">
        <is>
          <t>10/02/2026</t>
        </is>
      </c>
      <c r="C53" s="16" t="inlineStr">
        <is>
          <t>SISPAG FORNECEDORES PAG TIT 109005140902</t>
        </is>
      </c>
      <c r="D53" s="17" t="n">
        <v>-1980</v>
      </c>
    </row>
    <row r="54">
      <c r="B54" s="15" t="inlineStr">
        <is>
          <t>10/02/2026</t>
        </is>
      </c>
      <c r="C54" s="16" t="inlineStr">
        <is>
          <t>SISPAG FORNECEDORES PAG TIT 157000454557</t>
        </is>
      </c>
      <c r="D54" s="17" t="n">
        <v>-528</v>
      </c>
    </row>
    <row r="55">
      <c r="B55" s="15" t="inlineStr">
        <is>
          <t>10/02/2026</t>
        </is>
      </c>
      <c r="C55" s="16" t="inlineStr">
        <is>
          <t>SISPAG FORNECEDORES PAG TIT BANCO 077</t>
        </is>
      </c>
      <c r="D55" s="17" t="n">
        <v>-1090</v>
      </c>
    </row>
    <row r="56">
      <c r="B56" s="15" t="inlineStr">
        <is>
          <t>11/02/2026</t>
        </is>
      </c>
      <c r="C56" s="16" t="inlineStr">
        <is>
          <t>SISPAG FORNECEDORES</t>
        </is>
      </c>
      <c r="D56" s="17" t="n">
        <v>-110</v>
      </c>
    </row>
    <row r="57">
      <c r="B57" s="15" t="inlineStr">
        <is>
          <t>12/02/2026</t>
        </is>
      </c>
      <c r="C57" s="16" t="inlineStr">
        <is>
          <t>SISPAG FORNECEDORES 97877220031737</t>
        </is>
      </c>
      <c r="D57" s="17" t="n">
        <v>-500</v>
      </c>
    </row>
    <row r="58">
      <c r="B58" s="15" t="inlineStr">
        <is>
          <t>12/02/2026</t>
        </is>
      </c>
      <c r="C58" s="16" t="inlineStr">
        <is>
          <t>SISPAG FORNECEDORES PAG TIT 109005504863</t>
        </is>
      </c>
      <c r="D58" s="17" t="n">
        <v>-240.28</v>
      </c>
    </row>
    <row r="59">
      <c r="B59" s="15" t="inlineStr">
        <is>
          <t>12/02/2026</t>
        </is>
      </c>
      <c r="C59" s="16" t="inlineStr">
        <is>
          <t>SISPAG FORNECEDORES PAG TIT 109000022970</t>
        </is>
      </c>
      <c r="D59" s="17" t="n">
        <v>-198</v>
      </c>
    </row>
    <row r="60">
      <c r="B60" s="15" t="inlineStr">
        <is>
          <t>12/02/2026</t>
        </is>
      </c>
      <c r="C60" s="16" t="inlineStr">
        <is>
          <t>SISPAG FORNECEDORES PAG TIT 157000454304</t>
        </is>
      </c>
      <c r="D60" s="17" t="n">
        <v>-1827.44</v>
      </c>
    </row>
    <row r="61">
      <c r="B61" s="15" t="inlineStr">
        <is>
          <t>13/02/2026</t>
        </is>
      </c>
      <c r="C61" s="16" t="inlineStr">
        <is>
          <t>PAGAMENTOS PIX QR-CODE</t>
        </is>
      </c>
      <c r="D61" s="17" t="n">
        <v>-2810.56</v>
      </c>
    </row>
    <row r="62">
      <c r="B62" s="15" t="inlineStr">
        <is>
          <t>13/02/2026</t>
        </is>
      </c>
      <c r="C62" s="16" t="inlineStr">
        <is>
          <t>DA  ELETROPAULO 00020032</t>
        </is>
      </c>
      <c r="D62" s="17" t="n">
        <v>-11709.68</v>
      </c>
    </row>
    <row r="63">
      <c r="B63" s="15" t="inlineStr">
        <is>
          <t>18/02/2026</t>
        </is>
      </c>
      <c r="C63" s="16" t="inlineStr">
        <is>
          <t>PAGAMENTOS TRANSF CC ITAU</t>
        </is>
      </c>
      <c r="D63" s="17" t="n">
        <v>-117.8</v>
      </c>
    </row>
    <row r="64">
      <c r="B64" s="15" t="inlineStr">
        <is>
          <t>18/02/2026</t>
        </is>
      </c>
      <c r="C64" s="16" t="inlineStr">
        <is>
          <t>BOLETO PAGO HAGANA SEGUR</t>
        </is>
      </c>
      <c r="D64" s="17" t="n">
        <v>-16737.76</v>
      </c>
    </row>
    <row r="65">
      <c r="B65" s="15" t="inlineStr">
        <is>
          <t>18/02/2026</t>
        </is>
      </c>
      <c r="C65" s="16" t="inlineStr">
        <is>
          <t>BOLETO PAGO MOEMA COMERC</t>
        </is>
      </c>
      <c r="D65" s="17" t="n">
        <v>-879.5</v>
      </c>
    </row>
    <row r="66">
      <c r="B66" s="15" t="inlineStr">
        <is>
          <t>18/02/2026</t>
        </is>
      </c>
      <c r="C66" s="16" t="inlineStr">
        <is>
          <t>BOLETO PAGO HAGANA SERVI</t>
        </is>
      </c>
      <c r="D66" s="17" t="n">
        <v>-22565.22</v>
      </c>
    </row>
    <row r="67">
      <c r="B67" s="15" t="inlineStr">
        <is>
          <t>18/02/2026</t>
        </is>
      </c>
      <c r="C67" s="16" t="inlineStr">
        <is>
          <t>BOLETO PAGO MARIANA MORA</t>
        </is>
      </c>
      <c r="D67" s="17" t="n">
        <v>-1317.91</v>
      </c>
    </row>
    <row r="68">
      <c r="B68" s="15" t="inlineStr">
        <is>
          <t>18/02/2026</t>
        </is>
      </c>
      <c r="C68" s="16" t="inlineStr">
        <is>
          <t>TED ENVIADA JUPITER ITAI</t>
        </is>
      </c>
      <c r="D68" s="17" t="n">
        <v>-711.36</v>
      </c>
    </row>
    <row r="69">
      <c r="B69" s="15" t="inlineStr">
        <is>
          <t>18/02/2026</t>
        </is>
      </c>
      <c r="C69" s="16" t="inlineStr">
        <is>
          <t>TED ENVIADA TSA PORTOES</t>
        </is>
      </c>
      <c r="D69" s="17" t="n">
        <v>-476.75</v>
      </c>
    </row>
    <row r="70">
      <c r="B70" s="15" t="inlineStr">
        <is>
          <t>18/02/2026</t>
        </is>
      </c>
      <c r="C70" s="16" t="inlineStr">
        <is>
          <t>PAGAMENTOS TRANSF CC ITAU</t>
        </is>
      </c>
      <c r="D70" s="17" t="n">
        <v>-2879</v>
      </c>
    </row>
    <row r="71">
      <c r="B71" s="15" t="inlineStr">
        <is>
          <t>18/02/2026</t>
        </is>
      </c>
      <c r="C71" s="16" t="inlineStr">
        <is>
          <t>BOLETO PAGO MOEMA COMERC</t>
        </is>
      </c>
      <c r="D71" s="17" t="n">
        <v>-999.8</v>
      </c>
    </row>
    <row r="72">
      <c r="B72" s="15" t="inlineStr">
        <is>
          <t>18/02/2026</t>
        </is>
      </c>
      <c r="C72" s="16" t="inlineStr">
        <is>
          <t>DA  CLARO CELULAR  28663</t>
        </is>
      </c>
      <c r="D72" s="17" t="n">
        <v>-51.46</v>
      </c>
    </row>
    <row r="73">
      <c r="B73" s="15" t="inlineStr">
        <is>
          <t>18/02/2026</t>
        </is>
      </c>
      <c r="C73" s="16" t="inlineStr">
        <is>
          <t>DA  ELETROPAULO 00020032</t>
        </is>
      </c>
      <c r="D73" s="17" t="n">
        <v>-9877.23</v>
      </c>
    </row>
    <row r="74">
      <c r="B74" s="15" t="inlineStr">
        <is>
          <t>18/02/2026</t>
        </is>
      </c>
      <c r="C74" s="16" t="inlineStr">
        <is>
          <t>DA  VIVO FIXO 9270578927</t>
        </is>
      </c>
      <c r="D74" s="17" t="n">
        <v>-284.09</v>
      </c>
    </row>
    <row r="75">
      <c r="B75" s="15" t="inlineStr">
        <is>
          <t>19/02/2026</t>
        </is>
      </c>
      <c r="C75" s="16" t="inlineStr">
        <is>
          <t>BOLETO PAGO MASTER BENEF</t>
        </is>
      </c>
      <c r="D75" s="17" t="n">
        <v>-11768.15</v>
      </c>
    </row>
    <row r="76">
      <c r="B76" s="15" t="inlineStr">
        <is>
          <t>19/02/2026</t>
        </is>
      </c>
      <c r="C76" s="16" t="inlineStr">
        <is>
          <t>BOLETO PAGO FEDERAL EQUI</t>
        </is>
      </c>
      <c r="D76" s="17" t="n">
        <v>-1409.86</v>
      </c>
    </row>
    <row r="77">
      <c r="B77" s="15" t="inlineStr">
        <is>
          <t>19/02/2026</t>
        </is>
      </c>
      <c r="C77" s="16" t="inlineStr">
        <is>
          <t>TED ENVIADA FRANCISCO FE</t>
        </is>
      </c>
      <c r="D77" s="17" t="n">
        <v>-1158.07</v>
      </c>
    </row>
    <row r="78">
      <c r="B78" s="15" t="inlineStr">
        <is>
          <t>19/02/2026</t>
        </is>
      </c>
      <c r="C78" s="16" t="inlineStr">
        <is>
          <t>BOLETO PAGO HAGANA SERVI</t>
        </is>
      </c>
      <c r="D78" s="17" t="n">
        <v>-1623.03</v>
      </c>
    </row>
    <row r="79">
      <c r="B79" s="15" t="inlineStr">
        <is>
          <t>19/02/2026</t>
        </is>
      </c>
      <c r="C79" s="16" t="inlineStr">
        <is>
          <t>BOLETO PAGO HAGANA SEGUR</t>
        </is>
      </c>
      <c r="D79" s="17" t="n">
        <v>-1070.12</v>
      </c>
    </row>
    <row r="80">
      <c r="B80" s="15" t="inlineStr">
        <is>
          <t>19/02/2026</t>
        </is>
      </c>
      <c r="C80" s="16" t="inlineStr">
        <is>
          <t>BOLETO PAGO HAGANA SEGUR</t>
        </is>
      </c>
      <c r="D80" s="17" t="n">
        <v>-1070.12</v>
      </c>
    </row>
    <row r="81">
      <c r="B81" s="15" t="inlineStr">
        <is>
          <t>19/02/2026</t>
        </is>
      </c>
      <c r="C81" s="16" t="inlineStr">
        <is>
          <t>BOLETO PAGO HAGANA SERVI</t>
        </is>
      </c>
      <c r="D81" s="17" t="n">
        <v>-1623.03</v>
      </c>
    </row>
    <row r="82">
      <c r="B82" s="15" t="inlineStr">
        <is>
          <t>19/02/2026</t>
        </is>
      </c>
      <c r="C82" s="16" t="inlineStr">
        <is>
          <t>PAGAMENTOS TRANSF CC ITAU</t>
        </is>
      </c>
      <c r="D82" s="17" t="n">
        <v>-4125</v>
      </c>
    </row>
    <row r="83">
      <c r="B83" s="15" t="inlineStr">
        <is>
          <t>19/02/2026</t>
        </is>
      </c>
      <c r="C83" s="16" t="inlineStr">
        <is>
          <t>PAGAMENTOS TRIB COD BARRAS</t>
        </is>
      </c>
      <c r="D83" s="17" t="n">
        <v>-29938.31</v>
      </c>
    </row>
    <row r="84">
      <c r="B84" s="15" t="inlineStr">
        <is>
          <t>19/02/2026</t>
        </is>
      </c>
      <c r="C84" s="16" t="inlineStr">
        <is>
          <t>SISPAG SALARIOS</t>
        </is>
      </c>
      <c r="D84" s="17" t="n">
        <v>-7648.78</v>
      </c>
    </row>
    <row r="85">
      <c r="B85" s="15" t="inlineStr">
        <is>
          <t>20/02/2026</t>
        </is>
      </c>
      <c r="C85" s="16" t="inlineStr">
        <is>
          <t>TED ENVIADA F T FELICIO</t>
        </is>
      </c>
      <c r="D85" s="17" t="n">
        <v>-848</v>
      </c>
    </row>
    <row r="86">
      <c r="B86" s="15" t="inlineStr">
        <is>
          <t>20/02/2026</t>
        </is>
      </c>
      <c r="C86" s="16" t="inlineStr">
        <is>
          <t>TED ENVIADA TSA PORTOES</t>
        </is>
      </c>
      <c r="D86" s="17" t="n">
        <v>-1028.83</v>
      </c>
    </row>
    <row r="87">
      <c r="B87" s="15" t="inlineStr">
        <is>
          <t>20/02/2026</t>
        </is>
      </c>
      <c r="C87" s="16" t="inlineStr">
        <is>
          <t>TED ENVIADA CENE OBRAS E</t>
        </is>
      </c>
      <c r="D87" s="17" t="n">
        <v>-42173.41</v>
      </c>
    </row>
    <row r="88">
      <c r="B88" s="15" t="inlineStr">
        <is>
          <t>20/02/2026</t>
        </is>
      </c>
      <c r="C88" s="16" t="inlineStr">
        <is>
          <t>TED ENVIADA CENE OBRAS E</t>
        </is>
      </c>
      <c r="D88" s="17" t="n">
        <v>-6150</v>
      </c>
    </row>
    <row r="89">
      <c r="B89" s="15" t="inlineStr">
        <is>
          <t>20/02/2026</t>
        </is>
      </c>
      <c r="C89" s="16" t="inlineStr">
        <is>
          <t>BOLETO PAGO ELEVADORES A</t>
        </is>
      </c>
      <c r="D89" s="17" t="n">
        <v>-3943.8</v>
      </c>
    </row>
    <row r="90">
      <c r="B90" s="15" t="inlineStr">
        <is>
          <t>20/02/2026</t>
        </is>
      </c>
      <c r="C90" s="16" t="inlineStr">
        <is>
          <t>DA  CLARO BL/IT 96788065</t>
        </is>
      </c>
      <c r="D90" s="17" t="n">
        <v>-255.97</v>
      </c>
    </row>
    <row r="91">
      <c r="B91" s="15" t="inlineStr">
        <is>
          <t>20/02/2026</t>
        </is>
      </c>
      <c r="C91" s="16" t="inlineStr">
        <is>
          <t>DA  CLARO BL/IT 94338609</t>
        </is>
      </c>
      <c r="D91" s="17" t="n">
        <v>-18.46</v>
      </c>
    </row>
    <row r="92">
      <c r="B92" s="15" t="inlineStr">
        <is>
          <t>20/02/2026</t>
        </is>
      </c>
      <c r="C92" s="16" t="inlineStr">
        <is>
          <t>DA  CLARO BL/IT 97725174</t>
        </is>
      </c>
      <c r="D92" s="17" t="n">
        <v>-54.83</v>
      </c>
    </row>
    <row r="93">
      <c r="B93" s="15" t="inlineStr">
        <is>
          <t>20/02/2026</t>
        </is>
      </c>
      <c r="C93" s="16" t="inlineStr">
        <is>
          <t>DA  CLARO BL/IT 90789574</t>
        </is>
      </c>
      <c r="D93" s="17" t="n">
        <v>-93.77</v>
      </c>
    </row>
    <row r="94">
      <c r="B94" s="15" t="inlineStr">
        <is>
          <t>23/02/2026</t>
        </is>
      </c>
      <c r="C94" s="16" t="inlineStr">
        <is>
          <t>PAGAMENTOS TRANSF CC ITAU</t>
        </is>
      </c>
      <c r="D94" s="17" t="n">
        <v>-492.96</v>
      </c>
    </row>
    <row r="95">
      <c r="B95" s="15" t="inlineStr">
        <is>
          <t>23/02/2026</t>
        </is>
      </c>
      <c r="C95" s="16" t="inlineStr">
        <is>
          <t>BOLETO PAGO MEGASAUNAS C</t>
        </is>
      </c>
      <c r="D95" s="17" t="n">
        <v>-3000</v>
      </c>
    </row>
    <row r="96">
      <c r="B96" s="15" t="inlineStr">
        <is>
          <t>23/02/2026</t>
        </is>
      </c>
      <c r="C96" s="16" t="inlineStr">
        <is>
          <t>PAGAMENTOS TRANSF CC ITAU</t>
        </is>
      </c>
      <c r="D96" s="17" t="n">
        <v>-318.34</v>
      </c>
    </row>
    <row r="97">
      <c r="B97" s="15" t="inlineStr">
        <is>
          <t>23/02/2026</t>
        </is>
      </c>
      <c r="C97" s="16" t="inlineStr">
        <is>
          <t>SISPAG SALARIOS</t>
        </is>
      </c>
      <c r="D97" s="17" t="n">
        <v>-4193.81</v>
      </c>
    </row>
    <row r="98">
      <c r="B98" s="15" t="inlineStr">
        <is>
          <t>24/02/2026</t>
        </is>
      </c>
      <c r="C98" s="16" t="inlineStr">
        <is>
          <t>PAGAMENTOS TRANSF CC ITAU</t>
        </is>
      </c>
      <c r="D98" s="17" t="n">
        <v>-7669.96</v>
      </c>
    </row>
    <row r="99">
      <c r="B99" s="15" t="inlineStr">
        <is>
          <t>24/02/2026</t>
        </is>
      </c>
      <c r="C99" s="16" t="inlineStr">
        <is>
          <t>DA  COMGAS 38623927</t>
        </is>
      </c>
      <c r="D99" s="17" t="n">
        <v>-12502.87</v>
      </c>
    </row>
    <row r="100">
      <c r="B100" s="15" t="inlineStr">
        <is>
          <t>24/02/2026</t>
        </is>
      </c>
      <c r="C100" s="16" t="inlineStr">
        <is>
          <t>DA  COMGAS 00989029</t>
        </is>
      </c>
      <c r="D100" s="17" t="n">
        <v>-63.44</v>
      </c>
    </row>
    <row r="101">
      <c r="B101" s="15" t="inlineStr">
        <is>
          <t>25/02/2026</t>
        </is>
      </c>
      <c r="C101" s="16" t="inlineStr">
        <is>
          <t>BOLETO PAGO VILA VELHA S</t>
        </is>
      </c>
      <c r="D101" s="17" t="n">
        <v>-778.12</v>
      </c>
    </row>
    <row r="102">
      <c r="B102" s="15" t="inlineStr">
        <is>
          <t>25/02/2026</t>
        </is>
      </c>
      <c r="C102" s="16" t="inlineStr">
        <is>
          <t>BOLETO PAGO V G DOS SANT</t>
        </is>
      </c>
      <c r="D102" s="17" t="n">
        <v>-50</v>
      </c>
    </row>
    <row r="103">
      <c r="B103" s="15" t="inlineStr">
        <is>
          <t>25/02/2026</t>
        </is>
      </c>
      <c r="C103" s="16" t="inlineStr">
        <is>
          <t>BOLETO PAGO SAO FRANCISC</t>
        </is>
      </c>
      <c r="D103" s="17" t="n">
        <v>-802.5599999999999</v>
      </c>
    </row>
    <row r="104">
      <c r="B104" s="15" t="inlineStr">
        <is>
          <t>25/02/2026</t>
        </is>
      </c>
      <c r="C104" s="16" t="inlineStr">
        <is>
          <t>BOLETO PAGO APEX</t>
        </is>
      </c>
      <c r="D104" s="17" t="n">
        <v>-17700</v>
      </c>
    </row>
    <row r="105">
      <c r="B105" s="15" t="inlineStr">
        <is>
          <t>25/02/2026</t>
        </is>
      </c>
      <c r="C105" s="16" t="inlineStr">
        <is>
          <t>PAGAMENTOS TRANSF CC ITAU</t>
        </is>
      </c>
      <c r="D105" s="17" t="n">
        <v>-343.8</v>
      </c>
    </row>
    <row r="106">
      <c r="B106" s="15" t="inlineStr">
        <is>
          <t>25/02/2026</t>
        </is>
      </c>
      <c r="C106" s="16" t="inlineStr">
        <is>
          <t>BOLETO PAGO ELEVADORES A</t>
        </is>
      </c>
      <c r="D106" s="17" t="n">
        <v>-295.12</v>
      </c>
    </row>
    <row r="107">
      <c r="B107" s="15" t="inlineStr">
        <is>
          <t>25/02/2026</t>
        </is>
      </c>
      <c r="C107" s="16" t="inlineStr">
        <is>
          <t>SABESP      0249907283</t>
        </is>
      </c>
      <c r="D107" s="17" t="n">
        <v>-13722.22</v>
      </c>
    </row>
    <row r="108">
      <c r="B108" s="15" t="inlineStr">
        <is>
          <t>25/02/2026</t>
        </is>
      </c>
      <c r="C108" s="16" t="inlineStr">
        <is>
          <t>SABESP      0249907100</t>
        </is>
      </c>
      <c r="D108" s="17" t="n">
        <v>-5542.73</v>
      </c>
    </row>
    <row r="109">
      <c r="B109" s="15" t="inlineStr">
        <is>
          <t>26/02/2026</t>
        </is>
      </c>
      <c r="C109" s="16" t="inlineStr">
        <is>
          <t>PAGAMENTOS TRANSF CC ITAU</t>
        </is>
      </c>
      <c r="D109" s="17" t="n">
        <v>-896.29</v>
      </c>
    </row>
    <row r="110">
      <c r="B110" s="15" t="inlineStr">
        <is>
          <t>26/02/2026</t>
        </is>
      </c>
      <c r="C110" s="16" t="inlineStr">
        <is>
          <t>TED ENVIADA TSA PORTOES</t>
        </is>
      </c>
      <c r="D110" s="17" t="n">
        <v>-1411.18</v>
      </c>
    </row>
    <row r="111">
      <c r="B111" s="15" t="inlineStr">
        <is>
          <t>26/02/2026</t>
        </is>
      </c>
      <c r="C111" s="16" t="inlineStr">
        <is>
          <t>BOLETO PAGO JDS INSTALAC</t>
        </is>
      </c>
      <c r="D111" s="17" t="n">
        <v>-260</v>
      </c>
    </row>
    <row r="112">
      <c r="B112" s="18" t="inlineStr">
        <is>
          <t>TOTAL</t>
        </is>
      </c>
      <c r="C112" s="4" t="n"/>
      <c r="D112" s="19">
        <f>SUM(D30:D111)</f>
        <v/>
      </c>
      <c r="E112" s="19">
        <f>SUM(E30:E111)</f>
        <v/>
      </c>
    </row>
    <row r="115">
      <c r="B115" s="2" t="inlineStr">
        <is>
          <t>Saldo Inicial:</t>
        </is>
      </c>
      <c r="C115" s="5" t="n">
        <v>13905.47</v>
      </c>
    </row>
    <row r="116">
      <c r="B116" s="2" t="inlineStr">
        <is>
          <t>Saldo Final:</t>
        </is>
      </c>
      <c r="C116" s="5" t="n">
        <v>74496.11</v>
      </c>
    </row>
  </sheetData>
  <mergeCells count="3">
    <mergeCell ref="B112:C112"/>
    <mergeCell ref="B2:C2"/>
    <mergeCell ref="B26:C26"/>
  </mergeCells>
  <printOptions horizontalCentered="1" verticalCentered="0"/>
  <pageMargins left="0.3" right="0.3" top="0.5" bottom="0.5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2026-03-11T12:51:30Z</dcterms:created>
  <dcterms:modified xmlns:dcterms="http://purl.org/dc/terms/" xmlns:xsi="http://www.w3.org/2001/XMLSchema-instance" xsi:type="dcterms:W3CDTF">2026-03-11T12:51:31Z</dcterms:modified>
</cp:coreProperties>
</file>
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'Tarifas'!$B$1:$E$24</definedName>
    <definedName name="_xlnm.Print_Titles" localSheetId="2">'Aplicacoes'!$12:$12</definedName>
    <definedName name="_xlnm.Print_Area" localSheetId="2">'Aplicacoes'!$B$1:$E$66</definedName>
    <definedName name="_xlnm.Print_Titles" localSheetId="3">'Geral'!$12:$12</definedName>
    <definedName name="_xlnm.Print_Area" localSheetId="3">'Geral'!$B$1:$E$71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  <border>
      <left style="thin">
        <color rgb="00000000"/>
      </left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4" fontId="2" fillId="0" borderId="5" pivotButton="0" quotePrefix="0" xfId="0"/>
    <xf numFmtId="4" fontId="2" fillId="0" borderId="6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CONDOMINIO EDIFICIO BAY PORT</t>
        </is>
      </c>
    </row>
    <row r="5">
      <c r="B5" s="1" t="inlineStr">
        <is>
          <t>Agência/Conta:</t>
        </is>
      </c>
      <c r="C5" s="2" t="inlineStr">
        <is>
          <t>0758/0005354-0</t>
        </is>
      </c>
    </row>
    <row r="6">
      <c r="B6" s="1" t="inlineStr">
        <is>
          <t>Período:</t>
        </is>
      </c>
      <c r="C6" s="2" t="inlineStr">
        <is>
          <t>01/01/2026 até 31/01/2026</t>
        </is>
      </c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76303.99000000001</v>
      </c>
    </row>
    <row r="10">
      <c r="B10" s="2" t="inlineStr">
        <is>
          <t>Saldo Final:</t>
        </is>
      </c>
      <c r="C10" s="5" t="n">
        <v>48467.63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-123.2</v>
      </c>
    </row>
    <row r="14">
      <c r="B14" s="2" t="inlineStr">
        <is>
          <t>Total Créditos:</t>
        </is>
      </c>
      <c r="C14" s="7" t="n">
        <v>245368.85</v>
      </c>
    </row>
    <row r="15">
      <c r="B15" s="2" t="inlineStr">
        <is>
          <t>Total Débitos:</t>
        </is>
      </c>
      <c r="C15" s="6" t="n">
        <v>-273089.8699999999</v>
      </c>
    </row>
    <row r="16">
      <c r="B16" s="2" t="inlineStr">
        <is>
          <t>Total Aplicações:</t>
        </is>
      </c>
      <c r="C16" s="5" t="n">
        <v>-29992.14</v>
      </c>
    </row>
    <row r="18">
      <c r="B18" s="1" t="inlineStr">
        <is>
          <t>APLICAÇÕES</t>
        </is>
      </c>
      <c r="C18" s="8" t="n"/>
    </row>
    <row r="20">
      <c r="B20" s="9" t="inlineStr">
        <is>
          <t>PRIVILEGE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CDB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  <row r="28">
      <c r="B28" s="9" t="inlineStr">
        <is>
          <t>Indefinido</t>
        </is>
      </c>
      <c r="C28" s="4" t="n"/>
    </row>
    <row r="29">
      <c r="B29" s="4" t="inlineStr">
        <is>
          <t>Saldo Inicial:</t>
        </is>
      </c>
      <c r="C29" s="10" t="n">
        <v>0</v>
      </c>
    </row>
    <row r="30">
      <c r="B30" s="4" t="inlineStr">
        <is>
          <t>Saldo Final:</t>
        </is>
      </c>
      <c r="C30" s="10" t="n">
        <v>0</v>
      </c>
    </row>
    <row r="32">
      <c r="B32" s="9" t="inlineStr">
        <is>
          <t>Indefinido2</t>
        </is>
      </c>
      <c r="C32" s="4" t="n"/>
    </row>
    <row r="33">
      <c r="B33" s="4" t="inlineStr">
        <is>
          <t>Saldo Inicial:</t>
        </is>
      </c>
      <c r="C33" s="10" t="n">
        <v>0</v>
      </c>
    </row>
    <row r="34">
      <c r="B34" s="4" t="inlineStr">
        <is>
          <t>Saldo Final:</t>
        </is>
      </c>
      <c r="C34" s="10" t="n">
        <v>0</v>
      </c>
    </row>
  </sheetData>
  <mergeCells count="8">
    <mergeCell ref="B24:C24"/>
    <mergeCell ref="B2:C2"/>
    <mergeCell ref="B20:C20"/>
    <mergeCell ref="B28:C28"/>
    <mergeCell ref="B32:C32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CONDOMINIO EDIFICIO BAY PORT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inlineStr">
        <is>
          <t>01/01/2026 até 31/01/2026</t>
        </is>
      </c>
      <c r="D6" s="2" t="inlineStr">
        <is>
          <t>0758/0005354-0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02/01/2026</t>
        </is>
      </c>
      <c r="C13" s="16" t="inlineStr">
        <is>
          <t>TAR/CUSTAS COBRANCA</t>
        </is>
      </c>
      <c r="D13" s="17" t="n">
        <v>-34.65</v>
      </c>
    </row>
    <row r="14">
      <c r="B14" s="15" t="inlineStr">
        <is>
          <t>05/01/2026</t>
        </is>
      </c>
      <c r="C14" s="16" t="inlineStr">
        <is>
          <t>TAR/CUSTAS COBRANCA</t>
        </is>
      </c>
      <c r="D14" s="17" t="n">
        <v>-3.85</v>
      </c>
    </row>
    <row r="15">
      <c r="B15" s="15" t="inlineStr">
        <is>
          <t>09/01/2026</t>
        </is>
      </c>
      <c r="C15" s="16" t="inlineStr">
        <is>
          <t>TAR/CUSTAS COBRANCA</t>
        </is>
      </c>
      <c r="D15" s="17" t="n">
        <v>-3.85</v>
      </c>
    </row>
    <row r="16">
      <c r="B16" s="15" t="inlineStr">
        <is>
          <t>12/01/2026</t>
        </is>
      </c>
      <c r="C16" s="16" t="inlineStr">
        <is>
          <t>TAR/CUSTAS COBRANCA</t>
        </is>
      </c>
      <c r="D16" s="17" t="n">
        <v>-34.65</v>
      </c>
    </row>
    <row r="17">
      <c r="B17" s="15" t="inlineStr">
        <is>
          <t>14/01/2026</t>
        </is>
      </c>
      <c r="C17" s="16" t="inlineStr">
        <is>
          <t>TAR/CUSTAS COBRANCA</t>
        </is>
      </c>
      <c r="D17" s="17" t="n">
        <v>-3.85</v>
      </c>
    </row>
    <row r="18">
      <c r="B18" s="15" t="inlineStr">
        <is>
          <t>22/01/2026</t>
        </is>
      </c>
      <c r="C18" s="16" t="inlineStr">
        <is>
          <t>TAR/CUSTAS COBRANCA</t>
        </is>
      </c>
      <c r="D18" s="17" t="n">
        <v>-11.55</v>
      </c>
    </row>
    <row r="19">
      <c r="B19" s="15" t="inlineStr">
        <is>
          <t>29/01/2026</t>
        </is>
      </c>
      <c r="C19" s="16" t="inlineStr">
        <is>
          <t>TAR/CUSTAS COBRANCA</t>
        </is>
      </c>
      <c r="D19" s="17" t="n">
        <v>-3.85</v>
      </c>
    </row>
    <row r="20">
      <c r="B20" s="15" t="inlineStr">
        <is>
          <t>30/01/2026</t>
        </is>
      </c>
      <c r="C20" s="16" t="inlineStr">
        <is>
          <t>TAR/CUSTAS COBRANCA</t>
        </is>
      </c>
      <c r="D20" s="17" t="n">
        <v>-26.95</v>
      </c>
    </row>
    <row r="21">
      <c r="B21" s="18" t="inlineStr">
        <is>
          <t>TOTAL</t>
        </is>
      </c>
      <c r="C21" s="4" t="n"/>
      <c r="D21" s="19">
        <f>SUM(D13:D20)</f>
        <v/>
      </c>
    </row>
  </sheetData>
  <mergeCells count="2">
    <mergeCell ref="B21:C21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6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CONDOMINIO EDIFICIO BAY PORT</t>
        </is>
      </c>
      <c r="D5" s="1" t="inlineStr">
        <is>
          <t>Agência/Conta:</t>
        </is>
      </c>
      <c r="E5" s="2" t="inlineStr">
        <is>
          <t>0758/0005354-0</t>
        </is>
      </c>
    </row>
    <row r="6">
      <c r="B6" s="1" t="inlineStr">
        <is>
          <t>Período:</t>
        </is>
      </c>
      <c r="C6" s="2" t="inlineStr">
        <is>
          <t>01/01/2026 até 31/01/2026</t>
        </is>
      </c>
      <c r="D6" s="4" t="n"/>
      <c r="E6" s="4" t="n"/>
    </row>
    <row r="9">
      <c r="B9" s="13" t="inlineStr">
        <is>
          <t>APLICAÇÕES</t>
        </is>
      </c>
    </row>
    <row r="12">
      <c r="B12" s="20" t="inlineStr">
        <is>
          <t>GRUPO: PRIVILEGE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05/01/2026</t>
        </is>
      </c>
      <c r="C14" s="16" t="inlineStr">
        <is>
          <t>APLICACAO PRIVILEGE AG.</t>
        </is>
      </c>
      <c r="D14" s="17" t="n">
        <v>-30000</v>
      </c>
      <c r="E14" s="21" t="n"/>
    </row>
    <row r="15">
      <c r="B15" s="15" t="inlineStr">
        <is>
          <t>23/01/2026</t>
        </is>
      </c>
      <c r="C15" s="16" t="inlineStr">
        <is>
          <t>AG. RESGATE   PRIVILEGE</t>
        </is>
      </c>
      <c r="D15" s="17" t="n"/>
      <c r="E15" s="21" t="n">
        <v>50000</v>
      </c>
    </row>
    <row r="16">
      <c r="B16" s="15" t="inlineStr">
        <is>
          <t>27/01/2026</t>
        </is>
      </c>
      <c r="C16" s="16" t="inlineStr">
        <is>
          <t>INT RESGATE   PRIVILEGE</t>
        </is>
      </c>
      <c r="D16" s="17" t="n"/>
      <c r="E16" s="21" t="n">
        <v>10000</v>
      </c>
    </row>
    <row r="17">
      <c r="B17" s="15" t="inlineStr">
        <is>
          <t>28/01/2026</t>
        </is>
      </c>
      <c r="C17" s="16" t="inlineStr">
        <is>
          <t>INT RESGATE   PRIVILEGE</t>
        </is>
      </c>
      <c r="D17" s="17" t="n"/>
      <c r="E17" s="21" t="n">
        <v>10000</v>
      </c>
    </row>
    <row r="18">
      <c r="B18" s="18" t="inlineStr">
        <is>
          <t>TOTAL</t>
        </is>
      </c>
      <c r="C18" s="4" t="n"/>
      <c r="D18" s="19">
        <f>SUM(D14:D17)</f>
        <v/>
      </c>
      <c r="E18" s="19">
        <f>SUM(E14:E17)</f>
        <v/>
      </c>
    </row>
    <row r="19">
      <c r="D19" s="2" t="inlineStr">
        <is>
          <t>Saldo Inicial:</t>
        </is>
      </c>
      <c r="E19" s="10">
        <f>Resumo!C21</f>
        <v/>
      </c>
    </row>
    <row r="20">
      <c r="D20" s="2" t="inlineStr">
        <is>
          <t>Saldo Final:</t>
        </is>
      </c>
      <c r="E20" s="10">
        <f>Resumo!C22</f>
        <v/>
      </c>
    </row>
    <row r="21">
      <c r="D21" s="2" t="inlineStr">
        <is>
          <t>Rendimento:</t>
        </is>
      </c>
      <c r="E21" s="10">
        <f>Resumo!C22-(Resumo!C21+(-D18)-E18)</f>
        <v/>
      </c>
    </row>
    <row r="23">
      <c r="B23" s="20" t="inlineStr">
        <is>
          <t>GRUPO: APLICAÇÂO AUTOMATICA</t>
        </is>
      </c>
      <c r="E23" s="22" t="n"/>
    </row>
    <row r="24">
      <c r="B24" s="14" t="inlineStr">
        <is>
          <t>Data</t>
        </is>
      </c>
      <c r="C24" s="14" t="inlineStr">
        <is>
          <t>Lançamento</t>
        </is>
      </c>
      <c r="D24" s="14" t="inlineStr">
        <is>
          <t>Rendimento</t>
        </is>
      </c>
    </row>
    <row r="25">
      <c r="B25" s="15" t="inlineStr">
        <is>
          <t>05/01/2026</t>
        </is>
      </c>
      <c r="C25" s="16" t="inlineStr">
        <is>
          <t>RENDIMENTOS REND PAGO APLIC AUT MAIS</t>
        </is>
      </c>
      <c r="D25" s="21" t="n">
        <v>0.96</v>
      </c>
      <c r="E25" s="23" t="n"/>
    </row>
    <row r="26">
      <c r="B26" s="15" t="inlineStr">
        <is>
          <t>06/01/2026</t>
        </is>
      </c>
      <c r="C26" s="16" t="inlineStr">
        <is>
          <t>RENDIMENTOS REND PAGO APLIC AUT MAIS</t>
        </is>
      </c>
      <c r="D26" s="21" t="n">
        <v>0.91</v>
      </c>
      <c r="E26" s="23" t="n"/>
    </row>
    <row r="27">
      <c r="B27" s="15" t="inlineStr">
        <is>
          <t>07/01/2026</t>
        </is>
      </c>
      <c r="C27" s="16" t="inlineStr">
        <is>
          <t>RENDIMENTOS REND PAGO APLIC AUT MAIS</t>
        </is>
      </c>
      <c r="D27" s="21" t="n">
        <v>0.01</v>
      </c>
      <c r="E27" s="23" t="n"/>
    </row>
    <row r="28">
      <c r="B28" s="15" t="inlineStr">
        <is>
          <t>08/01/2026</t>
        </is>
      </c>
      <c r="C28" s="16" t="inlineStr">
        <is>
          <t>RENDIMENTOS REND PAGO APLIC AUT MAIS</t>
        </is>
      </c>
      <c r="D28" s="21" t="n">
        <v>0.02</v>
      </c>
      <c r="E28" s="23" t="n"/>
    </row>
    <row r="29">
      <c r="B29" s="15" t="inlineStr">
        <is>
          <t>09/01/2026</t>
        </is>
      </c>
      <c r="C29" s="16" t="inlineStr">
        <is>
          <t>RENDIMENTOS REND PAGO APLIC AUT MAIS</t>
        </is>
      </c>
      <c r="D29" s="21" t="n">
        <v>0.02</v>
      </c>
      <c r="E29" s="23" t="n"/>
    </row>
    <row r="30">
      <c r="B30" s="15" t="inlineStr">
        <is>
          <t>12/01/2026</t>
        </is>
      </c>
      <c r="C30" s="16" t="inlineStr">
        <is>
          <t>RENDIMENTOS REND PAGO APLIC AUT MAIS</t>
        </is>
      </c>
      <c r="D30" s="21" t="n">
        <v>0.04</v>
      </c>
      <c r="E30" s="23" t="n"/>
    </row>
    <row r="31">
      <c r="B31" s="15" t="inlineStr">
        <is>
          <t>15/01/2026</t>
        </is>
      </c>
      <c r="C31" s="16" t="inlineStr">
        <is>
          <t>RENDIMENTOS REND PAGO APLIC AUT MAIS</t>
        </is>
      </c>
      <c r="D31" s="21" t="n">
        <v>0.77</v>
      </c>
      <c r="E31" s="23" t="n"/>
    </row>
    <row r="32">
      <c r="B32" s="15" t="inlineStr">
        <is>
          <t>16/01/2026</t>
        </is>
      </c>
      <c r="C32" s="16" t="inlineStr">
        <is>
          <t>RENDIMENTOS REND PAGO APLIC AUT MAIS</t>
        </is>
      </c>
      <c r="D32" s="21" t="n">
        <v>0.14</v>
      </c>
      <c r="E32" s="23" t="n"/>
    </row>
    <row r="33">
      <c r="B33" s="15" t="inlineStr">
        <is>
          <t>19/01/2026</t>
        </is>
      </c>
      <c r="C33" s="16" t="inlineStr">
        <is>
          <t>RENDIMENTOS REND PAGO APLIC AUT MAIS</t>
        </is>
      </c>
      <c r="D33" s="21" t="n">
        <v>0.68</v>
      </c>
      <c r="E33" s="23" t="n"/>
    </row>
    <row r="34">
      <c r="B34" s="15" t="inlineStr">
        <is>
          <t>20/01/2026</t>
        </is>
      </c>
      <c r="C34" s="16" t="inlineStr">
        <is>
          <t>RENDIMENTOS REND PAGO APLIC AUT MAIS</t>
        </is>
      </c>
      <c r="D34" s="21" t="n">
        <v>3.07</v>
      </c>
      <c r="E34" s="23" t="n"/>
    </row>
    <row r="35">
      <c r="B35" s="15" t="inlineStr">
        <is>
          <t>21/01/2026</t>
        </is>
      </c>
      <c r="C35" s="16" t="inlineStr">
        <is>
          <t>RENDIMENTOS REND PAGO APLIC AUT MAIS</t>
        </is>
      </c>
      <c r="D35" s="21" t="n">
        <v>1.01</v>
      </c>
      <c r="E35" s="23" t="n"/>
    </row>
    <row r="36">
      <c r="B36" s="15" t="inlineStr">
        <is>
          <t>26/01/2026</t>
        </is>
      </c>
      <c r="C36" s="16" t="inlineStr">
        <is>
          <t>RENDIMENTOS REND PAGO APLIC AUT MAIS</t>
        </is>
      </c>
      <c r="D36" s="21" t="n">
        <v>0.23</v>
      </c>
      <c r="E36" s="23" t="n"/>
    </row>
    <row r="37">
      <c r="B37" s="18" t="inlineStr">
        <is>
          <t>TOTAL</t>
        </is>
      </c>
      <c r="C37" s="4" t="n"/>
      <c r="D37" s="19">
        <f>SUM(D25:D36)</f>
        <v/>
      </c>
    </row>
    <row r="39">
      <c r="B39" s="20" t="inlineStr">
        <is>
          <t>GRUPO: CDB</t>
        </is>
      </c>
    </row>
    <row r="40">
      <c r="B40" s="14" t="inlineStr">
        <is>
          <t>Data</t>
        </is>
      </c>
      <c r="C40" s="14" t="inlineStr">
        <is>
          <t>Lançamento</t>
        </is>
      </c>
      <c r="D40" s="14" t="inlineStr">
        <is>
          <t>Aplicação (R$)</t>
        </is>
      </c>
      <c r="E40" s="14" t="inlineStr">
        <is>
          <t>Resgate (R$)</t>
        </is>
      </c>
    </row>
    <row r="41">
      <c r="B41" s="24" t="inlineStr">
        <is>
          <t>Sem registros</t>
        </is>
      </c>
    </row>
    <row r="43">
      <c r="B43" s="18" t="inlineStr">
        <is>
          <t>TOTAL</t>
        </is>
      </c>
      <c r="C43" s="4" t="n"/>
      <c r="D43" s="19">
        <f>SUM(D41:D42)</f>
        <v/>
      </c>
      <c r="E43" s="19">
        <f>SUM(E41:E42)</f>
        <v/>
      </c>
    </row>
    <row r="44">
      <c r="D44" s="2" t="inlineStr">
        <is>
          <t>Saldo Inicial:</t>
        </is>
      </c>
      <c r="E44" s="10">
        <f>Resumo!C25</f>
        <v/>
      </c>
    </row>
    <row r="45">
      <c r="D45" s="2" t="inlineStr">
        <is>
          <t>Saldo Final:</t>
        </is>
      </c>
      <c r="E45" s="10">
        <f>Resumo!C26</f>
        <v/>
      </c>
    </row>
    <row r="46">
      <c r="D46" s="2" t="inlineStr">
        <is>
          <t>Rendimento:</t>
        </is>
      </c>
      <c r="E46" s="10">
        <f>Resumo!C26-(Resumo!C25+(-D43)-E43)</f>
        <v/>
      </c>
    </row>
    <row r="48">
      <c r="B48" s="25">
        <f>"GRUPO: "&amp;Resumo!B28</f>
        <v/>
      </c>
      <c r="C48" s="26" t="n"/>
      <c r="D48" s="26" t="n"/>
      <c r="E48" s="27" t="n"/>
    </row>
    <row r="49">
      <c r="B49" s="14" t="inlineStr">
        <is>
          <t>Data</t>
        </is>
      </c>
      <c r="C49" s="14" t="inlineStr">
        <is>
          <t>Lançamento</t>
        </is>
      </c>
      <c r="D49" s="14" t="inlineStr">
        <is>
          <t>Aplicação (R$)</t>
        </is>
      </c>
      <c r="E49" s="14" t="inlineStr">
        <is>
          <t>Resgate (R$)</t>
        </is>
      </c>
    </row>
    <row r="50">
      <c r="B50" s="24" t="inlineStr">
        <is>
          <t>Sem registros</t>
        </is>
      </c>
    </row>
    <row r="52">
      <c r="B52" s="18" t="inlineStr">
        <is>
          <t>TOTAL</t>
        </is>
      </c>
      <c r="C52" s="4" t="n"/>
      <c r="D52" s="19">
        <f>SUM(D50:D51)</f>
        <v/>
      </c>
      <c r="E52" s="19">
        <f>SUM(E50:E51)</f>
        <v/>
      </c>
    </row>
    <row r="53">
      <c r="D53" s="2" t="inlineStr">
        <is>
          <t>Saldo Inicial:</t>
        </is>
      </c>
      <c r="E53" s="10">
        <f>Resumo!C29</f>
        <v/>
      </c>
    </row>
    <row r="54">
      <c r="D54" s="2" t="inlineStr">
        <is>
          <t>Saldo Final:</t>
        </is>
      </c>
      <c r="E54" s="10">
        <f>Resumo!C30</f>
        <v/>
      </c>
    </row>
    <row r="55">
      <c r="D55" s="2" t="inlineStr">
        <is>
          <t>Rendimento:</t>
        </is>
      </c>
      <c r="E55" s="10">
        <f>Resumo!C30-(Resumo!C29+(-D52)-E52)</f>
        <v/>
      </c>
    </row>
    <row r="57">
      <c r="B57" s="25">
        <f>"GRUPO: "&amp;Resumo!B32</f>
        <v/>
      </c>
      <c r="C57" s="26" t="n"/>
      <c r="D57" s="26" t="n"/>
      <c r="E57" s="27" t="n"/>
    </row>
    <row r="58">
      <c r="B58" s="14" t="inlineStr">
        <is>
          <t>Data</t>
        </is>
      </c>
      <c r="C58" s="14" t="inlineStr">
        <is>
          <t>Lançamento</t>
        </is>
      </c>
      <c r="D58" s="14" t="inlineStr">
        <is>
          <t>Aplicação (R$)</t>
        </is>
      </c>
      <c r="E58" s="14" t="inlineStr">
        <is>
          <t>Resgate (R$)</t>
        </is>
      </c>
    </row>
    <row r="59">
      <c r="B59" s="24" t="inlineStr">
        <is>
          <t>Sem registros</t>
        </is>
      </c>
    </row>
    <row r="61">
      <c r="B61" s="18" t="inlineStr">
        <is>
          <t>TOTAL</t>
        </is>
      </c>
      <c r="C61" s="4" t="n"/>
      <c r="D61" s="19">
        <f>SUM(D59:D60)</f>
        <v/>
      </c>
      <c r="E61" s="19">
        <f>SUM(E59:E60)</f>
        <v/>
      </c>
    </row>
    <row r="62">
      <c r="D62" s="2" t="inlineStr">
        <is>
          <t>Saldo Inicial:</t>
        </is>
      </c>
      <c r="E62" s="10">
        <f>Resumo!C33</f>
        <v/>
      </c>
    </row>
    <row r="63">
      <c r="D63" s="2" t="inlineStr">
        <is>
          <t>Saldo Final:</t>
        </is>
      </c>
      <c r="E63" s="10">
        <f>Resumo!C34</f>
        <v/>
      </c>
    </row>
    <row r="64">
      <c r="D64" s="2" t="inlineStr">
        <is>
          <t>Rendimento:</t>
        </is>
      </c>
      <c r="E64" s="10">
        <f>Resumo!C34-(Resumo!C33+(-D61)-E61)</f>
        <v/>
      </c>
    </row>
    <row r="66">
      <c r="E66" s="5" t="n"/>
    </row>
  </sheetData>
  <mergeCells count="11">
    <mergeCell ref="B52:C52"/>
    <mergeCell ref="B2:C2"/>
    <mergeCell ref="B57:E57"/>
    <mergeCell ref="B23:D23"/>
    <mergeCell ref="B12:E12"/>
    <mergeCell ref="B37:C37"/>
    <mergeCell ref="B48:E48"/>
    <mergeCell ref="B61:C61"/>
    <mergeCell ref="B39:E39"/>
    <mergeCell ref="B18:C18"/>
    <mergeCell ref="B43:C43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70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CONDOMINIO EDIFICIO BAY PORT</t>
        </is>
      </c>
      <c r="D5" s="12" t="inlineStr">
        <is>
          <t>Agência/Conta:</t>
        </is>
      </c>
    </row>
    <row r="6">
      <c r="B6" s="1" t="inlineStr">
        <is>
          <t>Data:</t>
        </is>
      </c>
      <c r="C6" s="2" t="inlineStr">
        <is>
          <t>01/01/2026 até 31/01/2026</t>
        </is>
      </c>
      <c r="D6" s="2" t="inlineStr">
        <is>
          <t>0758/0005354-0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</row>
    <row r="13">
      <c r="B13" s="15" t="inlineStr">
        <is>
          <t>02/01/2026</t>
        </is>
      </c>
      <c r="C13" s="16" t="inlineStr">
        <is>
          <t>BOLETOS RECEBIDOS  02/01S</t>
        </is>
      </c>
      <c r="D13" s="21" t="n">
        <v>112210.14</v>
      </c>
    </row>
    <row r="14">
      <c r="B14" s="15" t="inlineStr">
        <is>
          <t>14/01/2026</t>
        </is>
      </c>
      <c r="C14" s="16" t="inlineStr">
        <is>
          <t>BOLETOS RECEBIDOS  14/01S</t>
        </is>
      </c>
      <c r="D14" s="21" t="n">
        <v>11379.56</v>
      </c>
    </row>
    <row r="15">
      <c r="B15" s="15" t="inlineStr">
        <is>
          <t>22/01/2026</t>
        </is>
      </c>
      <c r="C15" s="16" t="inlineStr">
        <is>
          <t>BOLETOS RECEBIDOS  22/01S</t>
        </is>
      </c>
      <c r="D15" s="21" t="n">
        <v>640.5</v>
      </c>
    </row>
    <row r="16">
      <c r="B16" s="15" t="inlineStr">
        <is>
          <t>29/01/2026</t>
        </is>
      </c>
      <c r="C16" s="16" t="inlineStr">
        <is>
          <t>BOLETOS RECEBIDOS  29/01S</t>
        </is>
      </c>
      <c r="D16" s="21" t="n">
        <v>11886.14</v>
      </c>
    </row>
    <row r="17">
      <c r="B17" s="15" t="inlineStr">
        <is>
          <t>30/01/2026</t>
        </is>
      </c>
      <c r="C17" s="16" t="inlineStr">
        <is>
          <t>BOLETOS RECEBIDOS  30/01S</t>
        </is>
      </c>
      <c r="D17" s="21" t="n">
        <v>39252.51</v>
      </c>
    </row>
    <row r="18">
      <c r="B18" s="18" t="inlineStr">
        <is>
          <t>TOTAL</t>
        </is>
      </c>
      <c r="C18" s="4" t="n"/>
      <c r="D18" s="19">
        <f>SUM(D13:D17)</f>
        <v/>
      </c>
    </row>
    <row r="19">
      <c r="B19" s="13" t="inlineStr">
        <is>
          <t>DÉBITOS</t>
        </is>
      </c>
    </row>
    <row r="21">
      <c r="B21" s="14" t="inlineStr">
        <is>
          <t>Data</t>
        </is>
      </c>
      <c r="C21" s="14" t="inlineStr">
        <is>
          <t>Lançamento</t>
        </is>
      </c>
      <c r="D21" s="14" t="inlineStr">
        <is>
          <t>Debito (R$)</t>
        </is>
      </c>
    </row>
    <row r="22">
      <c r="B22" s="15" t="inlineStr">
        <is>
          <t>05/01/2026</t>
        </is>
      </c>
      <c r="C22" s="16" t="inlineStr">
        <is>
          <t>IOF</t>
        </is>
      </c>
      <c r="D22" s="17" t="n">
        <v>-79.38</v>
      </c>
    </row>
    <row r="23">
      <c r="B23" s="15" t="inlineStr">
        <is>
          <t>05/01/2026</t>
        </is>
      </c>
      <c r="C23" s="16" t="inlineStr">
        <is>
          <t>SISPAG FORNECEDORES</t>
        </is>
      </c>
      <c r="D23" s="17" t="n">
        <v>-1004.44</v>
      </c>
    </row>
    <row r="24">
      <c r="B24" s="15" t="inlineStr">
        <is>
          <t>05/01/2026</t>
        </is>
      </c>
      <c r="C24" s="16" t="inlineStr">
        <is>
          <t>SISPAG FORNECEDORES</t>
        </is>
      </c>
      <c r="D24" s="17" t="n">
        <v>-1500</v>
      </c>
    </row>
    <row r="25">
      <c r="B25" s="15" t="inlineStr">
        <is>
          <t>05/01/2026</t>
        </is>
      </c>
      <c r="C25" s="16" t="inlineStr">
        <is>
          <t>SISPAG FORNECEDORES PAG TIT BANCO 237</t>
        </is>
      </c>
      <c r="D25" s="17" t="n">
        <v>-190.39</v>
      </c>
    </row>
    <row r="26">
      <c r="B26" s="15" t="inlineStr">
        <is>
          <t>05/01/2026</t>
        </is>
      </c>
      <c r="C26" s="16" t="inlineStr">
        <is>
          <t>SISPAG FORNECEDORES PAG TIT BANCO 237</t>
        </is>
      </c>
      <c r="D26" s="17" t="n">
        <v>-1870</v>
      </c>
    </row>
    <row r="27">
      <c r="B27" s="15" t="inlineStr">
        <is>
          <t>05/01/2026</t>
        </is>
      </c>
      <c r="C27" s="16" t="inlineStr">
        <is>
          <t>SISPAG FORNECEDORES PAG TIT 109006813769</t>
        </is>
      </c>
      <c r="D27" s="17" t="n">
        <v>-114.24</v>
      </c>
    </row>
    <row r="28">
      <c r="B28" s="15" t="inlineStr">
        <is>
          <t>05/01/2026</t>
        </is>
      </c>
      <c r="C28" s="16" t="inlineStr">
        <is>
          <t>SISPAG FORNECEDORES PAG TIT BANCO 033</t>
        </is>
      </c>
      <c r="D28" s="17" t="n">
        <v>-1491.68</v>
      </c>
    </row>
    <row r="29">
      <c r="B29" s="15" t="inlineStr">
        <is>
          <t>06/01/2026</t>
        </is>
      </c>
      <c r="C29" s="16" t="inlineStr">
        <is>
          <t>SISPAG SALARIOS</t>
        </is>
      </c>
      <c r="D29" s="17" t="n">
        <v>-42860.92</v>
      </c>
    </row>
    <row r="30">
      <c r="B30" s="15" t="inlineStr">
        <is>
          <t>06/01/2026</t>
        </is>
      </c>
      <c r="C30" s="16" t="inlineStr">
        <is>
          <t>SISPAG FORNECEDORES 97845497031226</t>
        </is>
      </c>
      <c r="D30" s="17" t="n">
        <v>-807.27</v>
      </c>
    </row>
    <row r="31">
      <c r="B31" s="15" t="inlineStr">
        <is>
          <t>07/01/2026</t>
        </is>
      </c>
      <c r="C31" s="16" t="inlineStr">
        <is>
          <t>SISPAG FORNECEDORES</t>
        </is>
      </c>
      <c r="D31" s="17" t="n">
        <v>-934.4299999999999</v>
      </c>
    </row>
    <row r="32">
      <c r="B32" s="15" t="inlineStr">
        <is>
          <t>08/01/2026</t>
        </is>
      </c>
      <c r="C32" s="16" t="inlineStr">
        <is>
          <t>SISPAG FORNECEDORES PAG TIT BANCO 197</t>
        </is>
      </c>
      <c r="D32" s="17" t="n">
        <v>-2415.5</v>
      </c>
    </row>
    <row r="33">
      <c r="B33" s="15" t="inlineStr">
        <is>
          <t>09/01/2026</t>
        </is>
      </c>
      <c r="C33" s="16" t="inlineStr">
        <is>
          <t>SISPAG TRIBUTOS PM S PAULO</t>
        </is>
      </c>
      <c r="D33" s="17" t="n">
        <v>-583.5599999999999</v>
      </c>
    </row>
    <row r="34">
      <c r="B34" s="15" t="inlineStr">
        <is>
          <t>09/01/2026</t>
        </is>
      </c>
      <c r="C34" s="16" t="inlineStr">
        <is>
          <t>SISPAG FORNECEDORES PAG TIT BANCO 237</t>
        </is>
      </c>
      <c r="D34" s="17" t="n">
        <v>-716.8</v>
      </c>
    </row>
    <row r="35">
      <c r="B35" s="15" t="inlineStr">
        <is>
          <t>12/01/2026</t>
        </is>
      </c>
      <c r="C35" s="16" t="inlineStr">
        <is>
          <t>SISPAG FORNECEDORES PAG TIT 109005315534</t>
        </is>
      </c>
      <c r="D35" s="17" t="n">
        <v>-520.61</v>
      </c>
    </row>
    <row r="36">
      <c r="B36" s="15" t="inlineStr">
        <is>
          <t>12/01/2026</t>
        </is>
      </c>
      <c r="C36" s="16" t="inlineStr">
        <is>
          <t>SISPAG FORNECEDORES PAG TIT BANCO 197</t>
        </is>
      </c>
      <c r="D36" s="17" t="n">
        <v>-440.28</v>
      </c>
    </row>
    <row r="37">
      <c r="B37" s="15" t="inlineStr">
        <is>
          <t>12/01/2026</t>
        </is>
      </c>
      <c r="C37" s="16" t="inlineStr">
        <is>
          <t>SISPAG FORNECEDORES PAG TIT 157000002114</t>
        </is>
      </c>
      <c r="D37" s="17" t="n">
        <v>-1167.04</v>
      </c>
    </row>
    <row r="38">
      <c r="B38" s="15" t="inlineStr">
        <is>
          <t>15/01/2026</t>
        </is>
      </c>
      <c r="C38" s="16" t="inlineStr">
        <is>
          <t>SABESP      0066443920</t>
        </is>
      </c>
      <c r="D38" s="17" t="n">
        <v>-9005.4</v>
      </c>
    </row>
    <row r="39">
      <c r="B39" s="15" t="inlineStr">
        <is>
          <t>15/01/2026</t>
        </is>
      </c>
      <c r="C39" s="16" t="inlineStr">
        <is>
          <t>SISPAG FORNECEDORES</t>
        </is>
      </c>
      <c r="D39" s="17" t="n">
        <v>-2229.48</v>
      </c>
    </row>
    <row r="40">
      <c r="B40" s="15" t="inlineStr">
        <is>
          <t>15/01/2026</t>
        </is>
      </c>
      <c r="C40" s="16" t="inlineStr">
        <is>
          <t>SISPAG FORNECEDORES PIX QR-CODE</t>
        </is>
      </c>
      <c r="D40" s="17" t="n">
        <v>-9702.92</v>
      </c>
    </row>
    <row r="41">
      <c r="B41" s="15" t="inlineStr">
        <is>
          <t>15/01/2026</t>
        </is>
      </c>
      <c r="C41" s="16" t="inlineStr">
        <is>
          <t>SISPAG FORNECEDORES PAG TIT BANCO 033</t>
        </is>
      </c>
      <c r="D41" s="17" t="n">
        <v>-1543.37</v>
      </c>
    </row>
    <row r="42">
      <c r="B42" s="15" t="inlineStr">
        <is>
          <t>16/01/2026</t>
        </is>
      </c>
      <c r="C42" s="16" t="inlineStr">
        <is>
          <t>SISPAG FORNECEDORES PIX TRANSFERENCIA</t>
        </is>
      </c>
      <c r="D42" s="17" t="n">
        <v>-3000</v>
      </c>
    </row>
    <row r="43">
      <c r="B43" s="15" t="inlineStr">
        <is>
          <t>16/01/2026</t>
        </is>
      </c>
      <c r="C43" s="16" t="inlineStr">
        <is>
          <t>SISPAG FORNECEDORES PAG TIT BANCO 033</t>
        </is>
      </c>
      <c r="D43" s="17" t="n">
        <v>-260.05</v>
      </c>
    </row>
    <row r="44">
      <c r="B44" s="15" t="inlineStr">
        <is>
          <t>19/01/2026</t>
        </is>
      </c>
      <c r="C44" s="16" t="inlineStr">
        <is>
          <t>DA  CLARO CELULAR  17560</t>
        </is>
      </c>
      <c r="D44" s="17" t="n">
        <v>-69.91</v>
      </c>
    </row>
    <row r="45">
      <c r="B45" s="15" t="inlineStr">
        <is>
          <t>19/01/2026</t>
        </is>
      </c>
      <c r="C45" s="16" t="inlineStr">
        <is>
          <t>SISPAG SALARIOS</t>
        </is>
      </c>
      <c r="D45" s="17" t="n">
        <v>-12531.59</v>
      </c>
    </row>
    <row r="46">
      <c r="B46" s="15" t="inlineStr">
        <is>
          <t>20/01/2026</t>
        </is>
      </c>
      <c r="C46" s="16" t="inlineStr">
        <is>
          <t>SISPAG TRIBUTOS DARF</t>
        </is>
      </c>
      <c r="D46" s="17" t="n">
        <v>-49940.3</v>
      </c>
    </row>
    <row r="47">
      <c r="B47" s="15" t="inlineStr">
        <is>
          <t>21/01/2026</t>
        </is>
      </c>
      <c r="C47" s="16" t="inlineStr">
        <is>
          <t>SISPAG FORNECEDORES PAG TIT 109002711638</t>
        </is>
      </c>
      <c r="D47" s="17" t="n">
        <v>-17235.59</v>
      </c>
    </row>
    <row r="48">
      <c r="B48" s="15" t="inlineStr">
        <is>
          <t>21/01/2026</t>
        </is>
      </c>
      <c r="C48" s="16" t="inlineStr">
        <is>
          <t>SISPAG FORNECEDORES PAG TIT 157000456781</t>
        </is>
      </c>
      <c r="D48" s="17" t="n">
        <v>-300</v>
      </c>
    </row>
    <row r="49">
      <c r="B49" s="15" t="inlineStr">
        <is>
          <t>23/01/2026</t>
        </is>
      </c>
      <c r="C49" s="16" t="inlineStr">
        <is>
          <t>SISPAG FORNECEDORES PIX TRANSFERENCIA</t>
        </is>
      </c>
      <c r="D49" s="17" t="n">
        <v>-17653.94</v>
      </c>
    </row>
    <row r="50">
      <c r="B50" s="15" t="inlineStr">
        <is>
          <t>23/01/2026</t>
        </is>
      </c>
      <c r="C50" s="16" t="inlineStr">
        <is>
          <t>SISPAG FORNECEDORES</t>
        </is>
      </c>
      <c r="D50" s="17" t="n">
        <v>-23296</v>
      </c>
    </row>
    <row r="51">
      <c r="B51" s="15" t="inlineStr">
        <is>
          <t>26/01/2026</t>
        </is>
      </c>
      <c r="C51" s="16" t="inlineStr">
        <is>
          <t>DA  ELETROPAULO 09863555</t>
        </is>
      </c>
      <c r="D51" s="17" t="n">
        <v>-101.1</v>
      </c>
    </row>
    <row r="52">
      <c r="B52" s="15" t="inlineStr">
        <is>
          <t>26/01/2026</t>
        </is>
      </c>
      <c r="C52" s="16" t="inlineStr">
        <is>
          <t>DA  ELETROPAULO 09863806</t>
        </is>
      </c>
      <c r="D52" s="17" t="n">
        <v>-9861.790000000001</v>
      </c>
    </row>
    <row r="53">
      <c r="B53" s="15" t="inlineStr">
        <is>
          <t>26/01/2026</t>
        </is>
      </c>
      <c r="C53" s="16" t="inlineStr">
        <is>
          <t>SISPAG SALARIOS</t>
        </is>
      </c>
      <c r="D53" s="17" t="n">
        <v>-8629.540000000001</v>
      </c>
    </row>
    <row r="54">
      <c r="B54" s="15" t="inlineStr">
        <is>
          <t>26/01/2026</t>
        </is>
      </c>
      <c r="C54" s="16" t="inlineStr">
        <is>
          <t>SISPAG FORNECEDORES PAG TIT BANCO 237</t>
        </is>
      </c>
      <c r="D54" s="17" t="n">
        <v>-716.8</v>
      </c>
    </row>
    <row r="55">
      <c r="B55" s="15" t="inlineStr">
        <is>
          <t>27/01/2026</t>
        </is>
      </c>
      <c r="C55" s="16" t="inlineStr">
        <is>
          <t>DA  COMGAS 01445022</t>
        </is>
      </c>
      <c r="D55" s="17" t="n">
        <v>-27.58</v>
      </c>
    </row>
    <row r="56">
      <c r="B56" s="15" t="inlineStr">
        <is>
          <t>27/01/2026</t>
        </is>
      </c>
      <c r="C56" s="16" t="inlineStr">
        <is>
          <t>DA  VIVO FIXO 9590511599</t>
        </is>
      </c>
      <c r="D56" s="17" t="n">
        <v>-427.51</v>
      </c>
    </row>
    <row r="57">
      <c r="B57" s="15" t="inlineStr">
        <is>
          <t>27/01/2026</t>
        </is>
      </c>
      <c r="C57" s="16" t="inlineStr">
        <is>
          <t>SISPAG FORNECEDORES</t>
        </is>
      </c>
      <c r="D57" s="17" t="n">
        <v>-492.96</v>
      </c>
    </row>
    <row r="58">
      <c r="B58" s="15" t="inlineStr">
        <is>
          <t>28/01/2026</t>
        </is>
      </c>
      <c r="C58" s="16" t="inlineStr">
        <is>
          <t>SISPAG FORNECEDORES 97859149031526</t>
        </is>
      </c>
      <c r="D58" s="17" t="n">
        <v>-1707.7</v>
      </c>
    </row>
    <row r="59">
      <c r="B59" s="15" t="inlineStr">
        <is>
          <t>28/01/2026</t>
        </is>
      </c>
      <c r="C59" s="16" t="inlineStr">
        <is>
          <t>SISPAG FORNECEDORES PAG TIT BANCO 033</t>
        </is>
      </c>
      <c r="D59" s="17" t="n">
        <v>-7349.94</v>
      </c>
    </row>
    <row r="60">
      <c r="B60" s="15" t="inlineStr">
        <is>
          <t>28/01/2026</t>
        </is>
      </c>
      <c r="C60" s="16" t="inlineStr">
        <is>
          <t>SISPAG FORNECEDORES PAG TIT 109003952214</t>
        </is>
      </c>
      <c r="D60" s="17" t="n">
        <v>-815.11</v>
      </c>
    </row>
    <row r="61">
      <c r="B61" s="15" t="inlineStr">
        <is>
          <t>29/01/2026</t>
        </is>
      </c>
      <c r="C61" s="16" t="inlineStr">
        <is>
          <t>DA  COMGAS 09472061</t>
        </is>
      </c>
      <c r="D61" s="17" t="n">
        <v>-91.93000000000001</v>
      </c>
    </row>
    <row r="62">
      <c r="B62" s="15" t="inlineStr">
        <is>
          <t>29/01/2026</t>
        </is>
      </c>
      <c r="C62" s="16" t="inlineStr">
        <is>
          <t>SISPAG FORNECEDORES</t>
        </is>
      </c>
      <c r="D62" s="17" t="n">
        <v>-1310.8</v>
      </c>
    </row>
    <row r="63">
      <c r="B63" s="15" t="inlineStr">
        <is>
          <t>29/01/2026</t>
        </is>
      </c>
      <c r="C63" s="16" t="inlineStr">
        <is>
          <t>SISPAG FORNECEDORES</t>
        </is>
      </c>
      <c r="D63" s="17" t="n">
        <v>-187.85</v>
      </c>
    </row>
    <row r="64">
      <c r="B64" s="15" t="inlineStr">
        <is>
          <t>29/01/2026</t>
        </is>
      </c>
      <c r="C64" s="16" t="inlineStr">
        <is>
          <t>SISPAG FORNECEDORES</t>
        </is>
      </c>
      <c r="D64" s="17" t="n">
        <v>-7604.17</v>
      </c>
    </row>
    <row r="65">
      <c r="B65" s="15" t="inlineStr">
        <is>
          <t>30/01/2026</t>
        </is>
      </c>
      <c r="C65" s="16" t="inlineStr">
        <is>
          <t>SISPAG FORNECEDORES PAG TIT 157000150885</t>
        </is>
      </c>
      <c r="D65" s="17" t="n">
        <v>-300</v>
      </c>
    </row>
    <row r="66">
      <c r="B66" s="18" t="inlineStr">
        <is>
          <t>TOTAL</t>
        </is>
      </c>
      <c r="C66" s="4" t="n"/>
      <c r="D66" s="19">
        <f>SUM(D22:D65)</f>
        <v/>
      </c>
    </row>
    <row r="69">
      <c r="B69" s="2" t="inlineStr">
        <is>
          <t>Saldo Inicial:</t>
        </is>
      </c>
      <c r="C69" s="5" t="n">
        <v>76303.99000000001</v>
      </c>
    </row>
    <row r="70">
      <c r="B70" s="2" t="inlineStr">
        <is>
          <t>Saldo Final:</t>
        </is>
      </c>
      <c r="C70" s="5" t="n">
        <v>48467.63</v>
      </c>
    </row>
  </sheetData>
  <mergeCells count="3">
    <mergeCell ref="B18:C18"/>
    <mergeCell ref="B66:C66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2026-03-19T13:15:33Z</dcterms:created>
  <dcterms:modified xmlns:dcterms="http://purl.org/dc/terms/" xmlns:xsi="http://www.w3.org/2001/XMLSchema-instance" xsi:type="dcterms:W3CDTF">2026-03-19T13:15:33Z</dcterms:modified>
</cp:coreProperties>
</file>
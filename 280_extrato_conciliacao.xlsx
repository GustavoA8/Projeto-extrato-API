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Aplicacoes" sheetId="3" state="visible" r:id="rId3"/>
    <sheet xmlns:r="http://schemas.openxmlformats.org/officeDocument/2006/relationships" name="Geral" sheetId="4" state="visible" r:id="rId4"/>
  </sheets>
  <definedNames>
    <definedName name="_xlnm.Print_Titles" localSheetId="0">'Resumo'!$12:$12</definedName>
    <definedName name="_xlnm.Print_Area" localSheetId="0">'Resumo'!$B$1:$E$18</definedName>
    <definedName name="_xlnm.Print_Titles" localSheetId="1">'Tarifas'!$12:$12</definedName>
    <definedName name="_xlnm.Print_Area" localSheetId="1">'Tarifas'!$B$1:$E$50</definedName>
    <definedName name="_xlnm.Print_Titles" localSheetId="2">'Aplicacoes'!$12:$12</definedName>
    <definedName name="_xlnm.Print_Area" localSheetId="2">'Aplicacoes'!$B$1:$E$66</definedName>
    <definedName name="_xlnm.Print_Titles" localSheetId="3">'Geral'!$12:$12</definedName>
    <definedName name="_xlnm.Print_Area" localSheetId="3">'Geral'!$B$1:$E$73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66CC"/>
      <sz val="14"/>
    </font>
    <font>
      <name val="Arial"/>
      <b val="1"/>
      <sz val="1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2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0" fillId="0" borderId="4" pivotButton="0" quotePrefix="0" xfId="0"/>
    <xf numFmtId="0" fontId="5" fillId="0" borderId="1" pivotButton="0" quotePrefix="0" xfId="0"/>
    <xf numFmtId="4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5" fillId="0" borderId="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047750" cy="86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1047750" cy="86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30" customWidth="1" min="3" max="3"/>
  </cols>
  <sheetData>
    <row r="2" ht="40" customHeight="1"/>
    <row r="4">
      <c r="B4" s="1" t="inlineStr">
        <is>
          <t>Nome:</t>
        </is>
      </c>
      <c r="C4" s="2" t="inlineStr">
        <is>
          <t>teste</t>
        </is>
      </c>
    </row>
    <row r="5">
      <c r="B5" s="1" t="inlineStr">
        <is>
          <t>Agência/Conta:</t>
        </is>
      </c>
      <c r="C5" s="2" t="inlineStr">
        <is>
          <t>2846/146465-5</t>
        </is>
      </c>
    </row>
    <row r="6">
      <c r="B6" s="1" t="inlineStr">
        <is>
          <t>Período:</t>
        </is>
      </c>
      <c r="C6" s="2" t="n"/>
    </row>
    <row r="8">
      <c r="B8" s="3" t="inlineStr">
        <is>
          <t>SALDOS</t>
        </is>
      </c>
      <c r="C8" s="4" t="n"/>
    </row>
    <row r="9">
      <c r="B9" s="2" t="inlineStr">
        <is>
          <t>Saldo Inicial:</t>
        </is>
      </c>
      <c r="C9" s="5" t="inlineStr">
        <is>
          <t>1,00</t>
        </is>
      </c>
    </row>
    <row r="10">
      <c r="B10" s="2" t="inlineStr">
        <is>
          <t>Saldo Final:</t>
        </is>
      </c>
      <c r="C10" s="5" t="n">
        <v>1</v>
      </c>
    </row>
    <row r="12">
      <c r="B12" s="3" t="inlineStr">
        <is>
          <t>TOTALIZADORES</t>
        </is>
      </c>
      <c r="C12" s="4" t="n"/>
    </row>
    <row r="13">
      <c r="B13" s="2" t="inlineStr">
        <is>
          <t>Total Tarifas/Custas:</t>
        </is>
      </c>
      <c r="C13" s="6" t="n">
        <v>-358.6</v>
      </c>
    </row>
    <row r="14">
      <c r="B14" s="2" t="inlineStr">
        <is>
          <t>Total Créditos:</t>
        </is>
      </c>
      <c r="C14" s="7" t="n">
        <v>121630.27</v>
      </c>
    </row>
    <row r="15">
      <c r="B15" s="2" t="inlineStr">
        <is>
          <t>Total Débitos:</t>
        </is>
      </c>
      <c r="C15" s="6" t="n">
        <v>-164066.69</v>
      </c>
    </row>
    <row r="16">
      <c r="B16" s="2" t="inlineStr">
        <is>
          <t>Total Aplicações:</t>
        </is>
      </c>
      <c r="C16" s="5" t="n">
        <v>0</v>
      </c>
    </row>
    <row r="18">
      <c r="B18" s="1" t="inlineStr">
        <is>
          <t>APLICAÇÕES</t>
        </is>
      </c>
      <c r="C18" s="8" t="n"/>
    </row>
    <row r="20">
      <c r="B20" s="9" t="inlineStr">
        <is>
          <t>CDB</t>
        </is>
      </c>
      <c r="C20" s="4" t="n"/>
    </row>
    <row r="21">
      <c r="B21" s="4" t="inlineStr">
        <is>
          <t>Saldo Inicial:</t>
        </is>
      </c>
      <c r="C21" s="10" t="n">
        <v>0</v>
      </c>
    </row>
    <row r="22">
      <c r="B22" s="4" t="inlineStr">
        <is>
          <t>Saldo Final:</t>
        </is>
      </c>
      <c r="C22" s="10" t="n">
        <v>0</v>
      </c>
    </row>
    <row r="24">
      <c r="B24" s="9" t="inlineStr">
        <is>
          <t>INVEST FACIL</t>
        </is>
      </c>
      <c r="C24" s="4" t="n"/>
    </row>
    <row r="25">
      <c r="B25" s="4" t="inlineStr">
        <is>
          <t>Saldo Inicial:</t>
        </is>
      </c>
      <c r="C25" s="10" t="n">
        <v>0</v>
      </c>
    </row>
    <row r="26">
      <c r="B26" s="4" t="inlineStr">
        <is>
          <t>Saldo Final:</t>
        </is>
      </c>
      <c r="C26" s="10" t="n">
        <v>0</v>
      </c>
    </row>
    <row r="28">
      <c r="B28" s="9" t="inlineStr">
        <is>
          <t>Indefinido</t>
        </is>
      </c>
      <c r="C28" s="4" t="n"/>
    </row>
    <row r="29">
      <c r="B29" s="4" t="inlineStr">
        <is>
          <t>Saldo Inicial:</t>
        </is>
      </c>
      <c r="C29" s="10" t="n">
        <v>0</v>
      </c>
    </row>
    <row r="30">
      <c r="B30" s="4" t="inlineStr">
        <is>
          <t>Saldo Final:</t>
        </is>
      </c>
      <c r="C30" s="10" t="n">
        <v>0</v>
      </c>
    </row>
    <row r="32">
      <c r="B32" s="9" t="inlineStr">
        <is>
          <t>Indefinido2</t>
        </is>
      </c>
      <c r="C32" s="4" t="n"/>
    </row>
    <row r="33">
      <c r="B33" s="4" t="inlineStr">
        <is>
          <t>Saldo Inicial:</t>
        </is>
      </c>
      <c r="C33" s="10" t="n">
        <v>0</v>
      </c>
    </row>
    <row r="34">
      <c r="B34" s="4" t="inlineStr">
        <is>
          <t>Saldo Final:</t>
        </is>
      </c>
      <c r="C34" s="10" t="n">
        <v>0</v>
      </c>
    </row>
  </sheetData>
  <mergeCells count="8">
    <mergeCell ref="B24:C24"/>
    <mergeCell ref="B2:C2"/>
    <mergeCell ref="B20:C20"/>
    <mergeCell ref="B28:C28"/>
    <mergeCell ref="B32:C32"/>
    <mergeCell ref="B18:C18"/>
    <mergeCell ref="B8:C8"/>
    <mergeCell ref="B12:C1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7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8" customWidth="1" min="5" max="5"/>
  </cols>
  <sheetData>
    <row r="2">
      <c r="B2" s="11" t="inlineStr">
        <is>
          <t>Bradesco</t>
        </is>
      </c>
    </row>
    <row r="5">
      <c r="B5" s="1" t="inlineStr">
        <is>
          <t>Nome:</t>
        </is>
      </c>
      <c r="C5" s="2" t="inlineStr">
        <is>
          <t>teste</t>
        </is>
      </c>
      <c r="D5" s="12" t="inlineStr">
        <is>
          <t>Agência/Conta:</t>
        </is>
      </c>
    </row>
    <row r="6">
      <c r="B6" s="1" t="inlineStr">
        <is>
          <t>Data:</t>
        </is>
      </c>
      <c r="C6" s="2" t="n"/>
      <c r="D6" s="2" t="inlineStr">
        <is>
          <t>2846/146465-5</t>
        </is>
      </c>
    </row>
    <row r="9">
      <c r="B9" s="13" t="inlineStr">
        <is>
          <t>APURAÇÃO TARIFAS BANCÁRIAS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Debito (R$)</t>
        </is>
      </c>
    </row>
    <row r="13">
      <c r="B13" s="15" t="inlineStr">
        <is>
          <t>02/01/2026</t>
        </is>
      </c>
      <c r="C13" s="16" t="inlineStr">
        <is>
          <t>TAR CC REAL TIME PAGFOR</t>
        </is>
      </c>
      <c r="D13" s="17" t="n">
        <v>-1.95</v>
      </c>
    </row>
    <row r="14">
      <c r="B14" s="15" t="inlineStr">
        <is>
          <t>05/01/2026</t>
        </is>
      </c>
      <c r="C14" s="16" t="inlineStr">
        <is>
          <t>TARIFA REGISTRO COBRANCA NA BAIXA POR PAGAMENTO  00000001</t>
        </is>
      </c>
      <c r="D14" s="17" t="n">
        <v>-1.66</v>
      </c>
    </row>
    <row r="15">
      <c r="B15" s="15" t="inlineStr">
        <is>
          <t>06/01/2026</t>
        </is>
      </c>
      <c r="C15" s="16" t="inlineStr">
        <is>
          <t>TARIFA REGISTRO COBRANCA NA BAIXA POR COMPENSACAO00000001</t>
        </is>
      </c>
      <c r="D15" s="17" t="n">
        <v>-1.66</v>
      </c>
    </row>
    <row r="16">
      <c r="B16" s="15" t="inlineStr">
        <is>
          <t>06/01/2026</t>
        </is>
      </c>
      <c r="C16" s="16" t="inlineStr">
        <is>
          <t>TARIFA AUTORIZ COBRANCA EXTRATO DE COBRANCA     00000001</t>
        </is>
      </c>
      <c r="D16" s="17" t="n">
        <v>-2.28</v>
      </c>
    </row>
    <row r="17">
      <c r="B17" s="15" t="inlineStr">
        <is>
          <t>06/01/2026</t>
        </is>
      </c>
      <c r="C17" s="16" t="inlineStr">
        <is>
          <t>TARIFA LCTO CRED CONTA</t>
        </is>
      </c>
      <c r="D17" s="17" t="n">
        <v>-13.16</v>
      </c>
    </row>
    <row r="18">
      <c r="B18" s="15" t="inlineStr">
        <is>
          <t>07/01/2026</t>
        </is>
      </c>
      <c r="C18" s="16" t="inlineStr">
        <is>
          <t>TARIFA AUTORIZ COBRANCA EXTRATO DE COBRANCA     00000001</t>
        </is>
      </c>
      <c r="D18" s="17" t="n">
        <v>-2.28</v>
      </c>
    </row>
    <row r="19">
      <c r="B19" s="15" t="inlineStr">
        <is>
          <t>08/01/2026</t>
        </is>
      </c>
      <c r="C19" s="16" t="inlineStr">
        <is>
          <t>TARIFA REGISTRO COBRANCA NA BAIXA POR COMPENSACAO00000001</t>
        </is>
      </c>
      <c r="D19" s="17" t="n">
        <v>-1.66</v>
      </c>
    </row>
    <row r="20">
      <c r="B20" s="15" t="inlineStr">
        <is>
          <t>08/01/2026</t>
        </is>
      </c>
      <c r="C20" s="16" t="inlineStr">
        <is>
          <t>TARIFA REGISTRO COBRANCA NA BAIXA POR PAGAMENTO  00000002</t>
        </is>
      </c>
      <c r="D20" s="17" t="n">
        <v>-3.32</v>
      </c>
    </row>
    <row r="21">
      <c r="B21" s="15" t="inlineStr">
        <is>
          <t>09/01/2026</t>
        </is>
      </c>
      <c r="C21" s="16" t="inlineStr">
        <is>
          <t>TARIFA REGISTRO COBRANCA NA BAIXA POR COMPENSACAO00000001</t>
        </is>
      </c>
      <c r="D21" s="17" t="n">
        <v>-1.66</v>
      </c>
    </row>
    <row r="22">
      <c r="B22" s="15" t="inlineStr">
        <is>
          <t>09/01/2026</t>
        </is>
      </c>
      <c r="C22" s="16" t="inlineStr">
        <is>
          <t>TARIFA AUTORIZ COBRANCA EXTRATO DE COBRANCA     00000001</t>
        </is>
      </c>
      <c r="D22" s="17" t="n">
        <v>-2.28</v>
      </c>
    </row>
    <row r="23">
      <c r="B23" s="15" t="inlineStr">
        <is>
          <t>09/01/2026</t>
        </is>
      </c>
      <c r="C23" s="16" t="inlineStr">
        <is>
          <t>TAR CC REAL TIME PAGFOR</t>
        </is>
      </c>
      <c r="D23" s="17" t="n">
        <v>-1.95</v>
      </c>
    </row>
    <row r="24">
      <c r="B24" s="15" t="inlineStr">
        <is>
          <t>09/01/2026</t>
        </is>
      </c>
      <c r="C24" s="16" t="inlineStr">
        <is>
          <t>TAR SERV TED STR PAGFOR</t>
        </is>
      </c>
      <c r="D24" s="17" t="n">
        <v>-10.96</v>
      </c>
    </row>
    <row r="25">
      <c r="B25" s="15" t="inlineStr">
        <is>
          <t>12/01/2026</t>
        </is>
      </c>
      <c r="C25" s="16" t="inlineStr">
        <is>
          <t>TARIFA AUTORIZ COBRANCA EXTRATO DE COBRANCA     00000001</t>
        </is>
      </c>
      <c r="D25" s="17" t="n">
        <v>-2.28</v>
      </c>
    </row>
    <row r="26">
      <c r="B26" s="15" t="inlineStr">
        <is>
          <t>12/01/2026</t>
        </is>
      </c>
      <c r="C26" s="16" t="inlineStr">
        <is>
          <t>TARIFA LCTO CRED CONTA</t>
        </is>
      </c>
      <c r="D26" s="17" t="n">
        <v>-1.88</v>
      </c>
    </row>
    <row r="27">
      <c r="B27" s="15" t="inlineStr">
        <is>
          <t>13/01/2026</t>
        </is>
      </c>
      <c r="C27" s="16" t="inlineStr">
        <is>
          <t>TARIFA REGISTRO COBRANCA NA BAIXA POR PAGAMENTO  00000002</t>
        </is>
      </c>
      <c r="D27" s="17" t="n">
        <v>-3.32</v>
      </c>
    </row>
    <row r="28">
      <c r="B28" s="15" t="inlineStr">
        <is>
          <t>13/01/2026</t>
        </is>
      </c>
      <c r="C28" s="16" t="inlineStr">
        <is>
          <t>TARIFA REGISTRO COBRANCA NA BAIXA POR COMPENSACAO00000014</t>
        </is>
      </c>
      <c r="D28" s="17" t="n">
        <v>-23.24</v>
      </c>
    </row>
    <row r="29">
      <c r="B29" s="15" t="inlineStr">
        <is>
          <t>13/01/2026</t>
        </is>
      </c>
      <c r="C29" s="16" t="inlineStr">
        <is>
          <t>TARIFA AUTORIZ COBRANCA TIT.BX.DECURSO PRAZO    00000001</t>
        </is>
      </c>
      <c r="D29" s="17" t="n">
        <v>-0.3</v>
      </c>
    </row>
    <row r="30">
      <c r="B30" s="15" t="inlineStr">
        <is>
          <t>14/01/2026</t>
        </is>
      </c>
      <c r="C30" s="16" t="inlineStr">
        <is>
          <t>TARIFA AUTORIZ COBRANCA EXTRATO DE COBRANCA     00000001</t>
        </is>
      </c>
      <c r="D30" s="17" t="n">
        <v>-2.28</v>
      </c>
    </row>
    <row r="31">
      <c r="B31" s="15" t="inlineStr">
        <is>
          <t>14/01/2026</t>
        </is>
      </c>
      <c r="C31" s="16" t="inlineStr">
        <is>
          <t>TAR SERV TED STR PAGFOR</t>
        </is>
      </c>
      <c r="D31" s="17" t="n">
        <v>-10.96</v>
      </c>
    </row>
    <row r="32">
      <c r="B32" s="15" t="inlineStr">
        <is>
          <t>15/01/2026</t>
        </is>
      </c>
      <c r="C32" s="16" t="inlineStr">
        <is>
          <t>TAR SERV TED STR PAGFOR</t>
        </is>
      </c>
      <c r="D32" s="17" t="n">
        <v>-10.96</v>
      </c>
    </row>
    <row r="33">
      <c r="B33" s="15" t="inlineStr">
        <is>
          <t>15/01/2026</t>
        </is>
      </c>
      <c r="C33" s="16" t="inlineStr">
        <is>
          <t>TARIFA BANCARIA CestaEmpresarial2</t>
        </is>
      </c>
      <c r="D33" s="17" t="n">
        <v>-177.05</v>
      </c>
    </row>
    <row r="34">
      <c r="B34" s="15" t="inlineStr">
        <is>
          <t>16/01/2026</t>
        </is>
      </c>
      <c r="C34" s="16" t="inlineStr">
        <is>
          <t>TAR SERV TED STR PAGFOR</t>
        </is>
      </c>
      <c r="D34" s="17" t="n">
        <v>-10.96</v>
      </c>
    </row>
    <row r="35">
      <c r="B35" s="15" t="inlineStr">
        <is>
          <t>19/01/2026</t>
        </is>
      </c>
      <c r="C35" s="16" t="inlineStr">
        <is>
          <t>TARIFA LCTO CRED CONTA</t>
        </is>
      </c>
      <c r="D35" s="17" t="n">
        <v>-11.28</v>
      </c>
    </row>
    <row r="36">
      <c r="B36" s="15" t="inlineStr">
        <is>
          <t>20/01/2026</t>
        </is>
      </c>
      <c r="C36" s="16" t="inlineStr">
        <is>
          <t>TARIFA REGISTRO COBRANCA NA BAIXA POR COMPENSACAO00000001</t>
        </is>
      </c>
      <c r="D36" s="17" t="n">
        <v>-1.66</v>
      </c>
    </row>
    <row r="37">
      <c r="B37" s="15" t="inlineStr">
        <is>
          <t>20/01/2026</t>
        </is>
      </c>
      <c r="C37" s="16" t="inlineStr">
        <is>
          <t>TAR SERV TED STR PAGFOR</t>
        </is>
      </c>
      <c r="D37" s="17" t="n">
        <v>-10.96</v>
      </c>
    </row>
    <row r="38">
      <c r="B38" s="15" t="inlineStr">
        <is>
          <t>21/01/2026</t>
        </is>
      </c>
      <c r="C38" s="16" t="inlineStr">
        <is>
          <t>TARIFA AUTORIZ COBRANCA EXTRATO DE COBRANCA     00000001</t>
        </is>
      </c>
      <c r="D38" s="17" t="n">
        <v>-2.28</v>
      </c>
    </row>
    <row r="39">
      <c r="B39" s="15" t="inlineStr">
        <is>
          <t>22/01/2026</t>
        </is>
      </c>
      <c r="C39" s="16" t="inlineStr">
        <is>
          <t>TARIFA REGISTRO COBRANCA NA BAIXA POR COMPENSACAO00000001</t>
        </is>
      </c>
      <c r="D39" s="17" t="n">
        <v>-1.66</v>
      </c>
    </row>
    <row r="40">
      <c r="B40" s="15" t="inlineStr">
        <is>
          <t>23/01/2026</t>
        </is>
      </c>
      <c r="C40" s="16" t="inlineStr">
        <is>
          <t>TARIFA AUTORIZ COBRANCA EXTRATO DE COBRANCA     00000001</t>
        </is>
      </c>
      <c r="D40" s="17" t="n">
        <v>-2.28</v>
      </c>
    </row>
    <row r="41">
      <c r="B41" s="15" t="inlineStr">
        <is>
          <t>27/01/2026</t>
        </is>
      </c>
      <c r="C41" s="16" t="inlineStr">
        <is>
          <t>TAR SERV TED STR PAGFOR</t>
        </is>
      </c>
      <c r="D41" s="17" t="n">
        <v>-10.96</v>
      </c>
    </row>
    <row r="42">
      <c r="B42" s="15" t="inlineStr">
        <is>
          <t>29/01/2026</t>
        </is>
      </c>
      <c r="C42" s="16" t="inlineStr">
        <is>
          <t>TARIFA REGISTRO COBRANCA NA BAIXA POR PAGAMENTO  00000001</t>
        </is>
      </c>
      <c r="D42" s="17" t="n">
        <v>-1.66</v>
      </c>
    </row>
    <row r="43">
      <c r="B43" s="15" t="inlineStr">
        <is>
          <t>29/01/2026</t>
        </is>
      </c>
      <c r="C43" s="16" t="inlineStr">
        <is>
          <t>TAR CC REAL TIME PAGFOR</t>
        </is>
      </c>
      <c r="D43" s="17" t="n">
        <v>-1.95</v>
      </c>
    </row>
    <row r="44">
      <c r="B44" s="15" t="inlineStr">
        <is>
          <t>30/01/2026</t>
        </is>
      </c>
      <c r="C44" s="16" t="inlineStr">
        <is>
          <t>TARIFA REGISTRO COBRANCA NA BAIXA POR COMPENSACAO00000001</t>
        </is>
      </c>
      <c r="D44" s="17" t="n">
        <v>-1.66</v>
      </c>
    </row>
    <row r="45">
      <c r="B45" s="15" t="inlineStr">
        <is>
          <t>30/01/2026</t>
        </is>
      </c>
      <c r="C45" s="16" t="inlineStr">
        <is>
          <t>TARIFA AUTORIZ COBRANCA EXTRATO DE COBRANCA     00000001</t>
        </is>
      </c>
      <c r="D45" s="17" t="n">
        <v>-2.28</v>
      </c>
    </row>
    <row r="46">
      <c r="B46" s="15" t="inlineStr">
        <is>
          <t>30/01/2026</t>
        </is>
      </c>
      <c r="C46" s="16" t="inlineStr">
        <is>
          <t>TAR SERV TED STR PAGFOR</t>
        </is>
      </c>
      <c r="D46" s="17" t="n">
        <v>-21.92</v>
      </c>
    </row>
    <row r="47">
      <c r="B47" s="18" t="inlineStr">
        <is>
          <t>TOTAL</t>
        </is>
      </c>
      <c r="C47" s="4" t="n"/>
      <c r="D47" s="19">
        <f>SUM(D13:D46)</f>
        <v/>
      </c>
    </row>
  </sheetData>
  <mergeCells count="2">
    <mergeCell ref="B47:C47"/>
    <mergeCell ref="B2:C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66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Bradesco</t>
        </is>
      </c>
    </row>
    <row r="5">
      <c r="B5" s="1" t="inlineStr">
        <is>
          <t>Nome:</t>
        </is>
      </c>
      <c r="C5" s="2" t="inlineStr">
        <is>
          <t>teste</t>
        </is>
      </c>
      <c r="D5" s="1" t="inlineStr">
        <is>
          <t>Agência/Conta:</t>
        </is>
      </c>
      <c r="E5" s="2" t="inlineStr">
        <is>
          <t>2846/146465-5</t>
        </is>
      </c>
    </row>
    <row r="6">
      <c r="B6" s="1" t="inlineStr">
        <is>
          <t>Período:</t>
        </is>
      </c>
      <c r="C6" s="2" t="n"/>
      <c r="D6" s="4" t="n"/>
      <c r="E6" s="4" t="n"/>
    </row>
    <row r="9">
      <c r="B9" s="13" t="inlineStr">
        <is>
          <t>APLICAÇÕES</t>
        </is>
      </c>
    </row>
    <row r="12">
      <c r="B12" s="20" t="inlineStr">
        <is>
          <t>GRUPO: CDB</t>
        </is>
      </c>
    </row>
    <row r="13">
      <c r="B13" s="14" t="inlineStr">
        <is>
          <t>Data</t>
        </is>
      </c>
      <c r="C13" s="14" t="inlineStr">
        <is>
          <t>Lançamento</t>
        </is>
      </c>
      <c r="D13" s="14" t="inlineStr">
        <is>
          <t>Aplicação (R$)</t>
        </is>
      </c>
      <c r="E13" s="14" t="inlineStr">
        <is>
          <t>Resgate (R$)</t>
        </is>
      </c>
    </row>
    <row r="14">
      <c r="B14" s="15" t="inlineStr">
        <is>
          <t>02/01/2026</t>
        </is>
      </c>
      <c r="C14" s="16" t="inlineStr">
        <is>
          <t>RESG/VENCTO CDB</t>
        </is>
      </c>
      <c r="D14" s="17" t="n"/>
      <c r="E14" s="21" t="n">
        <v>2088.09</v>
      </c>
    </row>
    <row r="15">
      <c r="B15" s="15" t="inlineStr">
        <is>
          <t>05/01/2026</t>
        </is>
      </c>
      <c r="C15" s="16" t="inlineStr">
        <is>
          <t>RESG/VENCTO CDB</t>
        </is>
      </c>
      <c r="D15" s="17" t="n"/>
      <c r="E15" s="21" t="n">
        <v>244.69</v>
      </c>
    </row>
    <row r="16">
      <c r="B16" s="15" t="inlineStr">
        <is>
          <t>06/01/2026</t>
        </is>
      </c>
      <c r="C16" s="16" t="inlineStr">
        <is>
          <t>RESG/VENCTO CDB</t>
        </is>
      </c>
      <c r="D16" s="17" t="n"/>
      <c r="E16" s="21" t="n">
        <v>8841.48</v>
      </c>
    </row>
    <row r="17">
      <c r="B17" s="15" t="inlineStr">
        <is>
          <t>06/01/2026</t>
        </is>
      </c>
      <c r="C17" s="16" t="inlineStr">
        <is>
          <t>RESG/VENCTO CDB</t>
        </is>
      </c>
      <c r="D17" s="17" t="n"/>
      <c r="E17" s="21" t="n">
        <v>10416.56</v>
      </c>
    </row>
    <row r="18">
      <c r="B18" s="15" t="inlineStr">
        <is>
          <t>07/01/2026</t>
        </is>
      </c>
      <c r="C18" s="16" t="inlineStr">
        <is>
          <t>RESG/VENCTO CDB</t>
        </is>
      </c>
      <c r="D18" s="17" t="n"/>
      <c r="E18" s="21" t="n">
        <v>100</v>
      </c>
    </row>
    <row r="19">
      <c r="B19" s="15" t="inlineStr">
        <is>
          <t>29/01/2026</t>
        </is>
      </c>
      <c r="C19" s="16" t="inlineStr">
        <is>
          <t>RESG/VENCTO CDB</t>
        </is>
      </c>
      <c r="D19" s="17" t="n"/>
      <c r="E19" s="21" t="n">
        <v>19987.63</v>
      </c>
    </row>
    <row r="20">
      <c r="B20" s="15" t="inlineStr">
        <is>
          <t>30/01/2026</t>
        </is>
      </c>
      <c r="C20" s="16" t="inlineStr">
        <is>
          <t>RESG/VENCTO CDB</t>
        </is>
      </c>
      <c r="D20" s="17" t="n"/>
      <c r="E20" s="21" t="n">
        <v>1116.57</v>
      </c>
    </row>
    <row r="21">
      <c r="B21" s="18" t="inlineStr">
        <is>
          <t>TOTAL</t>
        </is>
      </c>
      <c r="C21" s="4" t="n"/>
      <c r="D21" s="19">
        <f>SUM(D14:D20)</f>
        <v/>
      </c>
      <c r="E21" s="19">
        <f>SUM(E14:E20)</f>
        <v/>
      </c>
    </row>
    <row r="22">
      <c r="D22" s="2" t="inlineStr">
        <is>
          <t>Saldo Inicial:</t>
        </is>
      </c>
      <c r="E22" s="10">
        <f>Resumo!C21</f>
        <v/>
      </c>
    </row>
    <row r="23">
      <c r="D23" s="2" t="inlineStr">
        <is>
          <t>Saldo Final:</t>
        </is>
      </c>
      <c r="E23" s="10">
        <f>Resumo!C22</f>
        <v/>
      </c>
    </row>
    <row r="24">
      <c r="D24" s="2" t="inlineStr">
        <is>
          <t>Rendimento:</t>
        </is>
      </c>
      <c r="E24" s="10">
        <f>Resumo!C22-(Resumo!C21+(-D21)-E21)</f>
        <v/>
      </c>
    </row>
    <row r="26">
      <c r="B26" s="22" t="inlineStr">
        <is>
          <t>GRUPO: INVEST FACIL</t>
        </is>
      </c>
      <c r="C26" s="23" t="n"/>
      <c r="D26" s="23" t="n"/>
      <c r="E26" s="24" t="n"/>
    </row>
    <row r="27">
      <c r="B27" s="14" t="inlineStr">
        <is>
          <t>Data</t>
        </is>
      </c>
      <c r="C27" s="14" t="inlineStr">
        <is>
          <t>Lançamento</t>
        </is>
      </c>
      <c r="D27" s="14" t="inlineStr">
        <is>
          <t>Aplicação (R$)</t>
        </is>
      </c>
      <c r="E27" s="14" t="inlineStr">
        <is>
          <t>Resgate (R$)</t>
        </is>
      </c>
    </row>
    <row r="28">
      <c r="B28" s="15" t="inlineStr">
        <is>
          <t>12/01/2026</t>
        </is>
      </c>
      <c r="C28" s="16" t="inlineStr">
        <is>
          <t>RENTAB.INVEST FACILCRED*</t>
        </is>
      </c>
      <c r="D28" s="17" t="n"/>
      <c r="E28" s="21" t="n">
        <v>0.02</v>
      </c>
    </row>
    <row r="29">
      <c r="B29" s="15" t="inlineStr">
        <is>
          <t>14/01/2026</t>
        </is>
      </c>
      <c r="C29" s="16" t="inlineStr">
        <is>
          <t>RENTAB.INVEST FACILCRED*</t>
        </is>
      </c>
      <c r="D29" s="17" t="n"/>
      <c r="E29" s="21" t="n">
        <v>0.01</v>
      </c>
    </row>
    <row r="30">
      <c r="B30" s="15" t="inlineStr">
        <is>
          <t>15/01/2026</t>
        </is>
      </c>
      <c r="C30" s="16" t="inlineStr">
        <is>
          <t>RENTAB.INVEST FACILCRED*</t>
        </is>
      </c>
      <c r="D30" s="17" t="n"/>
      <c r="E30" s="21" t="n">
        <v>0.31</v>
      </c>
    </row>
    <row r="31">
      <c r="B31" s="15" t="inlineStr">
        <is>
          <t>15/01/2026</t>
        </is>
      </c>
      <c r="C31" s="16" t="inlineStr">
        <is>
          <t>RENTAB.INVEST FACILCRED*</t>
        </is>
      </c>
      <c r="D31" s="17" t="n"/>
      <c r="E31" s="21" t="n">
        <v>0.03</v>
      </c>
    </row>
    <row r="32">
      <c r="B32" s="15" t="inlineStr">
        <is>
          <t>15/01/2026</t>
        </is>
      </c>
      <c r="C32" s="16" t="inlineStr">
        <is>
          <t>RENTAB.INVEST FACILCRED*</t>
        </is>
      </c>
      <c r="D32" s="17" t="n"/>
      <c r="E32" s="21" t="n">
        <v>0.03</v>
      </c>
    </row>
    <row r="33">
      <c r="B33" s="15" t="inlineStr">
        <is>
          <t>16/01/2026</t>
        </is>
      </c>
      <c r="C33" s="16" t="inlineStr">
        <is>
          <t>RENTAB.INVEST FACILCRED*</t>
        </is>
      </c>
      <c r="D33" s="17" t="n"/>
      <c r="E33" s="21" t="n">
        <v>0.08</v>
      </c>
    </row>
    <row r="34">
      <c r="B34" s="15" t="inlineStr">
        <is>
          <t>19/01/2026</t>
        </is>
      </c>
      <c r="C34" s="16" t="inlineStr">
        <is>
          <t>RENTAB.INVEST FACILCRED*</t>
        </is>
      </c>
      <c r="D34" s="17" t="n"/>
      <c r="E34" s="21" t="n">
        <v>0.46</v>
      </c>
    </row>
    <row r="35">
      <c r="B35" s="15" t="inlineStr">
        <is>
          <t>21/01/2026</t>
        </is>
      </c>
      <c r="C35" s="16" t="inlineStr">
        <is>
          <t>RENTAB.INVEST FACILCRED*</t>
        </is>
      </c>
      <c r="D35" s="17" t="n"/>
      <c r="E35" s="21" t="n">
        <v>0.34</v>
      </c>
    </row>
    <row r="36">
      <c r="B36" s="15" t="inlineStr">
        <is>
          <t>22/01/2026</t>
        </is>
      </c>
      <c r="C36" s="16" t="inlineStr">
        <is>
          <t>RENTAB.INVEST FACILCRED*</t>
        </is>
      </c>
      <c r="D36" s="17" t="n"/>
      <c r="E36" s="21" t="n">
        <v>0.02</v>
      </c>
    </row>
    <row r="37">
      <c r="B37" s="15" t="inlineStr">
        <is>
          <t>23/01/2026</t>
        </is>
      </c>
      <c r="C37" s="16" t="inlineStr">
        <is>
          <t>RENTAB.INVEST FACILCRED*</t>
        </is>
      </c>
      <c r="D37" s="17" t="n"/>
      <c r="E37" s="21" t="n">
        <v>0.14</v>
      </c>
    </row>
    <row r="38">
      <c r="B38" s="15" t="inlineStr">
        <is>
          <t>26/01/2026</t>
        </is>
      </c>
      <c r="C38" s="16" t="inlineStr">
        <is>
          <t>RENTAB.INVEST FACILCRED*</t>
        </is>
      </c>
      <c r="D38" s="17" t="n"/>
      <c r="E38" s="21" t="n">
        <v>0.06</v>
      </c>
    </row>
    <row r="39">
      <c r="B39" s="15" t="inlineStr">
        <is>
          <t>27/01/2026</t>
        </is>
      </c>
      <c r="C39" s="16" t="inlineStr">
        <is>
          <t>RENTAB.INVEST FACILCRED*</t>
        </is>
      </c>
      <c r="D39" s="17" t="n"/>
      <c r="E39" s="21" t="n">
        <v>0.05</v>
      </c>
    </row>
    <row r="40">
      <c r="B40" s="15" t="inlineStr">
        <is>
          <t>28/01/2026</t>
        </is>
      </c>
      <c r="C40" s="16" t="inlineStr">
        <is>
          <t>RENTAB.INVEST FACILCRED*</t>
        </is>
      </c>
      <c r="D40" s="17" t="n"/>
      <c r="E40" s="21" t="n">
        <v>0.11</v>
      </c>
    </row>
    <row r="41">
      <c r="B41" s="15" t="inlineStr">
        <is>
          <t>29/01/2026</t>
        </is>
      </c>
      <c r="C41" s="16" t="inlineStr">
        <is>
          <t>RENTAB.INVEST FACILCRED*</t>
        </is>
      </c>
      <c r="D41" s="17" t="n"/>
      <c r="E41" s="21" t="n">
        <v>0.11</v>
      </c>
    </row>
    <row r="42">
      <c r="B42" s="15" t="inlineStr">
        <is>
          <t>29/01/2026</t>
        </is>
      </c>
      <c r="C42" s="16" t="inlineStr">
        <is>
          <t>RENTAB.INVEST FACILCRED*</t>
        </is>
      </c>
      <c r="D42" s="17" t="n"/>
      <c r="E42" s="21" t="n">
        <v>1.55</v>
      </c>
    </row>
    <row r="43">
      <c r="B43" s="18" t="inlineStr">
        <is>
          <t>TOTAL</t>
        </is>
      </c>
      <c r="C43" s="4" t="n"/>
      <c r="D43" s="19">
        <f>SUM(D28:D42)</f>
        <v/>
      </c>
      <c r="E43" s="19">
        <f>SUM(E28:E42)</f>
        <v/>
      </c>
    </row>
    <row r="44">
      <c r="D44" s="2" t="inlineStr">
        <is>
          <t>Saldo Inicial:</t>
        </is>
      </c>
      <c r="E44" s="10">
        <f>Resumo!C25</f>
        <v/>
      </c>
    </row>
    <row r="45">
      <c r="D45" s="2" t="inlineStr">
        <is>
          <t>Saldo Final:</t>
        </is>
      </c>
      <c r="E45" s="10">
        <f>Resumo!C26</f>
        <v/>
      </c>
    </row>
    <row r="46">
      <c r="D46" s="2" t="inlineStr">
        <is>
          <t>Rendimento:</t>
        </is>
      </c>
      <c r="E46" s="10">
        <f>Resumo!C26-(Resumo!C25+(-D43)-E43)</f>
        <v/>
      </c>
    </row>
    <row r="48">
      <c r="B48" s="22">
        <f>"GRUPO: "&amp;Resumo!B28</f>
        <v/>
      </c>
      <c r="C48" s="23" t="n"/>
      <c r="D48" s="23" t="n"/>
      <c r="E48" s="24" t="n"/>
    </row>
    <row r="49">
      <c r="B49" s="14" t="inlineStr">
        <is>
          <t>Data</t>
        </is>
      </c>
      <c r="C49" s="14" t="inlineStr">
        <is>
          <t>Lançamento</t>
        </is>
      </c>
      <c r="D49" s="14" t="inlineStr">
        <is>
          <t>Aplicação (R$)</t>
        </is>
      </c>
      <c r="E49" s="14" t="inlineStr">
        <is>
          <t>Resgate (R$)</t>
        </is>
      </c>
    </row>
    <row r="50">
      <c r="B50" s="25" t="inlineStr">
        <is>
          <t>Sem registros</t>
        </is>
      </c>
    </row>
    <row r="52">
      <c r="B52" s="18" t="inlineStr">
        <is>
          <t>TOTAL</t>
        </is>
      </c>
      <c r="C52" s="4" t="n"/>
      <c r="D52" s="19">
        <f>SUM(D50:D51)</f>
        <v/>
      </c>
      <c r="E52" s="19">
        <f>SUM(E50:E51)</f>
        <v/>
      </c>
    </row>
    <row r="53">
      <c r="D53" s="2" t="inlineStr">
        <is>
          <t>Saldo Inicial:</t>
        </is>
      </c>
      <c r="E53" s="10">
        <f>Resumo!C29</f>
        <v/>
      </c>
    </row>
    <row r="54">
      <c r="D54" s="2" t="inlineStr">
        <is>
          <t>Saldo Final:</t>
        </is>
      </c>
      <c r="E54" s="10">
        <f>Resumo!C30</f>
        <v/>
      </c>
    </row>
    <row r="55">
      <c r="D55" s="2" t="inlineStr">
        <is>
          <t>Rendimento:</t>
        </is>
      </c>
      <c r="E55" s="10">
        <f>Resumo!C30-(Resumo!C29+(-D52)-E52)</f>
        <v/>
      </c>
    </row>
    <row r="57">
      <c r="B57" s="22">
        <f>"GRUPO: "&amp;Resumo!B32</f>
        <v/>
      </c>
      <c r="C57" s="23" t="n"/>
      <c r="D57" s="23" t="n"/>
      <c r="E57" s="24" t="n"/>
    </row>
    <row r="58">
      <c r="B58" s="14" t="inlineStr">
        <is>
          <t>Data</t>
        </is>
      </c>
      <c r="C58" s="14" t="inlineStr">
        <is>
          <t>Lançamento</t>
        </is>
      </c>
      <c r="D58" s="14" t="inlineStr">
        <is>
          <t>Aplicação (R$)</t>
        </is>
      </c>
      <c r="E58" s="14" t="inlineStr">
        <is>
          <t>Resgate (R$)</t>
        </is>
      </c>
    </row>
    <row r="59">
      <c r="B59" s="25" t="inlineStr">
        <is>
          <t>Sem registros</t>
        </is>
      </c>
    </row>
    <row r="61">
      <c r="B61" s="18" t="inlineStr">
        <is>
          <t>TOTAL</t>
        </is>
      </c>
      <c r="C61" s="4" t="n"/>
      <c r="D61" s="19">
        <f>SUM(D59:D60)</f>
        <v/>
      </c>
      <c r="E61" s="19">
        <f>SUM(E59:E60)</f>
        <v/>
      </c>
    </row>
    <row r="62">
      <c r="D62" s="2" t="inlineStr">
        <is>
          <t>Saldo Inicial:</t>
        </is>
      </c>
      <c r="E62" s="10">
        <f>Resumo!C33</f>
        <v/>
      </c>
    </row>
    <row r="63">
      <c r="D63" s="2" t="inlineStr">
        <is>
          <t>Saldo Final:</t>
        </is>
      </c>
      <c r="E63" s="10">
        <f>Resumo!C34</f>
        <v/>
      </c>
    </row>
    <row r="64">
      <c r="D64" s="2" t="inlineStr">
        <is>
          <t>Rendimento:</t>
        </is>
      </c>
      <c r="E64" s="10">
        <f>Resumo!C34-(Resumo!C33+(-D61)-E61)</f>
        <v/>
      </c>
    </row>
    <row r="66">
      <c r="E66" s="5" t="n"/>
    </row>
  </sheetData>
  <mergeCells count="9">
    <mergeCell ref="B26:E26"/>
    <mergeCell ref="B21:C21"/>
    <mergeCell ref="B2:C2"/>
    <mergeCell ref="B52:C52"/>
    <mergeCell ref="B57:E57"/>
    <mergeCell ref="B12:E12"/>
    <mergeCell ref="B48:E48"/>
    <mergeCell ref="B61:C61"/>
    <mergeCell ref="B43:C43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72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Bradesco</t>
        </is>
      </c>
    </row>
    <row r="5">
      <c r="B5" s="1" t="inlineStr">
        <is>
          <t>Nome:</t>
        </is>
      </c>
      <c r="C5" s="2" t="inlineStr">
        <is>
          <t>teste</t>
        </is>
      </c>
      <c r="D5" s="12" t="inlineStr">
        <is>
          <t>Agência/Conta:</t>
        </is>
      </c>
    </row>
    <row r="6">
      <c r="B6" s="1" t="inlineStr">
        <is>
          <t>Data:</t>
        </is>
      </c>
      <c r="C6" s="2" t="n"/>
      <c r="D6" s="2" t="inlineStr">
        <is>
          <t>2846/146465-5</t>
        </is>
      </c>
    </row>
    <row r="9">
      <c r="B9" s="13" t="inlineStr">
        <is>
          <t>GERAL</t>
        </is>
      </c>
    </row>
    <row r="10">
      <c r="B10" s="13" t="inlineStr">
        <is>
          <t>CRÉDITOS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Credito (R$)</t>
        </is>
      </c>
    </row>
    <row r="13">
      <c r="B13" s="15" t="inlineStr">
        <is>
          <t>05/01/2026</t>
        </is>
      </c>
      <c r="C13" s="16" t="inlineStr">
        <is>
          <t>LIQUIDACAO DE COBRANCA VALOR DISPONIVEL</t>
        </is>
      </c>
      <c r="D13" s="21" t="n">
        <v>5588.84</v>
      </c>
    </row>
    <row r="14">
      <c r="B14" s="15" t="inlineStr">
        <is>
          <t>06/01/2026</t>
        </is>
      </c>
      <c r="C14" s="16" t="inlineStr">
        <is>
          <t>LIQUIDACAO DE COBRANCA VALOR DISPONIVEL</t>
        </is>
      </c>
      <c r="D14" s="21" t="n">
        <v>3917.58</v>
      </c>
    </row>
    <row r="15">
      <c r="B15" s="15" t="inlineStr">
        <is>
          <t>08/01/2026</t>
        </is>
      </c>
      <c r="C15" s="16" t="inlineStr">
        <is>
          <t>LIQUIDACAO DE COBRANCA VALOR DISPONIVEL</t>
        </is>
      </c>
      <c r="D15" s="21" t="n">
        <v>15465.69</v>
      </c>
    </row>
    <row r="16">
      <c r="B16" s="15" t="inlineStr">
        <is>
          <t>09/01/2026</t>
        </is>
      </c>
      <c r="C16" s="16" t="inlineStr">
        <is>
          <t>LIQUIDACAO DE COBRANCA VALOR DISPONIVEL</t>
        </is>
      </c>
      <c r="D16" s="21" t="n">
        <v>5370.3</v>
      </c>
    </row>
    <row r="17">
      <c r="B17" s="15" t="inlineStr">
        <is>
          <t>13/01/2026</t>
        </is>
      </c>
      <c r="C17" s="16" t="inlineStr">
        <is>
          <t>LIQUIDACAO DE COBRANCA VALOR DISPONIVEL</t>
        </is>
      </c>
      <c r="D17" s="21" t="n">
        <v>72523.03</v>
      </c>
    </row>
    <row r="18">
      <c r="B18" s="15" t="inlineStr">
        <is>
          <t>20/01/2026</t>
        </is>
      </c>
      <c r="C18" s="16" t="inlineStr">
        <is>
          <t>LIQUIDACAO DE COBRANCA VALOR DISPONIVEL</t>
        </is>
      </c>
      <c r="D18" s="21" t="n">
        <v>5370.3</v>
      </c>
    </row>
    <row r="19">
      <c r="B19" s="15" t="inlineStr">
        <is>
          <t>22/01/2026</t>
        </is>
      </c>
      <c r="C19" s="16" t="inlineStr">
        <is>
          <t>LIQUIDACAO DE COBRANCA VALOR DISPONIVEL</t>
        </is>
      </c>
      <c r="D19" s="21" t="n">
        <v>3995.93</v>
      </c>
    </row>
    <row r="20">
      <c r="B20" s="15" t="inlineStr">
        <is>
          <t>29/01/2026</t>
        </is>
      </c>
      <c r="C20" s="16" t="inlineStr">
        <is>
          <t>LIQUIDACAO DE COBRANCA VALOR DISPONIVEL</t>
        </is>
      </c>
      <c r="D20" s="21" t="n">
        <v>5477.7</v>
      </c>
    </row>
    <row r="21">
      <c r="B21" s="15" t="inlineStr">
        <is>
          <t>30/01/2026</t>
        </is>
      </c>
      <c r="C21" s="16" t="inlineStr">
        <is>
          <t>LIQUIDACAO DE COBRANCA VALOR DISPONIVEL</t>
        </is>
      </c>
      <c r="D21" s="21" t="n">
        <v>3917.58</v>
      </c>
    </row>
    <row r="22">
      <c r="B22" s="18" t="inlineStr">
        <is>
          <t>TOTAL</t>
        </is>
      </c>
      <c r="C22" s="4" t="n"/>
      <c r="D22" s="19">
        <f>SUM(D13:D21)</f>
        <v/>
      </c>
    </row>
    <row r="23">
      <c r="B23" s="13" t="inlineStr">
        <is>
          <t>DÉBITOS</t>
        </is>
      </c>
    </row>
    <row r="25">
      <c r="B25" s="14" t="inlineStr">
        <is>
          <t>Data</t>
        </is>
      </c>
      <c r="C25" s="14" t="inlineStr">
        <is>
          <t>Lançamento</t>
        </is>
      </c>
      <c r="D25" s="14" t="inlineStr">
        <is>
          <t>Debito (R$)</t>
        </is>
      </c>
    </row>
    <row r="26">
      <c r="B26" s="15" t="inlineStr">
        <is>
          <t>02/01/2026</t>
        </is>
      </c>
      <c r="C26" s="16" t="inlineStr">
        <is>
          <t>PAGFOR C/C R TIME SD L</t>
        </is>
      </c>
      <c r="D26" s="17" t="n">
        <v>-1581.14</v>
      </c>
    </row>
    <row r="27">
      <c r="B27" s="15" t="inlineStr">
        <is>
          <t>02/01/2026</t>
        </is>
      </c>
      <c r="C27" s="16" t="inlineStr">
        <is>
          <t>PFOR TIT OUTROS BANCOS</t>
        </is>
      </c>
      <c r="D27" s="17" t="n">
        <v>-505</v>
      </c>
    </row>
    <row r="28">
      <c r="B28" s="15" t="inlineStr">
        <is>
          <t>05/01/2026</t>
        </is>
      </c>
      <c r="C28" s="16" t="inlineStr">
        <is>
          <t>PFOR TIT OUTROS BANCOS</t>
        </is>
      </c>
      <c r="D28" s="17" t="n">
        <v>-5831.87</v>
      </c>
    </row>
    <row r="29">
      <c r="B29" s="15" t="inlineStr">
        <is>
          <t>06/01/2026</t>
        </is>
      </c>
      <c r="C29" s="16" t="inlineStr">
        <is>
          <t>PAGAMENTO FUNCIONARIOS</t>
        </is>
      </c>
      <c r="D29" s="17" t="n">
        <v>-18341.84</v>
      </c>
    </row>
    <row r="30">
      <c r="B30" s="15" t="inlineStr">
        <is>
          <t>06/01/2026</t>
        </is>
      </c>
      <c r="C30" s="16" t="inlineStr">
        <is>
          <t>PFOR TIT OUTROS BANCOS</t>
        </is>
      </c>
      <c r="D30" s="17" t="n">
        <v>-4816.67</v>
      </c>
    </row>
    <row r="31">
      <c r="B31" s="15" t="inlineStr">
        <is>
          <t>09/01/2026</t>
        </is>
      </c>
      <c r="C31" s="16" t="inlineStr">
        <is>
          <t>PAGFOR C/C R TIME SD L</t>
        </is>
      </c>
      <c r="D31" s="17" t="n">
        <v>-673</v>
      </c>
    </row>
    <row r="32">
      <c r="B32" s="15" t="inlineStr">
        <is>
          <t>09/01/2026</t>
        </is>
      </c>
      <c r="C32" s="16" t="inlineStr">
        <is>
          <t>PFOR TIT OUTROS BANCOS</t>
        </is>
      </c>
      <c r="D32" s="17" t="n">
        <v>-1044</v>
      </c>
    </row>
    <row r="33">
      <c r="B33" s="15" t="inlineStr">
        <is>
          <t>09/01/2026</t>
        </is>
      </c>
      <c r="C33" s="16" t="inlineStr">
        <is>
          <t>PAGTO ELETRONICO TRIBUTO PGIT - COD.BARRAS-PMSP5701</t>
        </is>
      </c>
      <c r="D33" s="17" t="n">
        <v>-28.13</v>
      </c>
    </row>
    <row r="34">
      <c r="B34" s="15" t="inlineStr">
        <is>
          <t>09/01/2026</t>
        </is>
      </c>
      <c r="C34" s="16" t="inlineStr">
        <is>
          <t>PAGFOR TED STR SD DISP</t>
        </is>
      </c>
      <c r="D34" s="17" t="n">
        <v>-1130.68</v>
      </c>
    </row>
    <row r="35">
      <c r="B35" s="15" t="inlineStr">
        <is>
          <t>09/01/2026</t>
        </is>
      </c>
      <c r="C35" s="16" t="inlineStr">
        <is>
          <t>PFOR TIT BRADESCO SD L</t>
        </is>
      </c>
      <c r="D35" s="17" t="n">
        <v>-1094.4</v>
      </c>
    </row>
    <row r="36">
      <c r="B36" s="15" t="inlineStr">
        <is>
          <t>12/01/2026</t>
        </is>
      </c>
      <c r="C36" s="16" t="inlineStr">
        <is>
          <t>TV POR ASSINATURA CLARO SA-RESIDENCIAL-9180322</t>
        </is>
      </c>
      <c r="D36" s="17" t="n">
        <v>-206.14</v>
      </c>
    </row>
    <row r="37">
      <c r="B37" s="15" t="inlineStr">
        <is>
          <t>12/01/2026</t>
        </is>
      </c>
      <c r="C37" s="16" t="inlineStr">
        <is>
          <t>PFOR TIT OUTROS BANCOS</t>
        </is>
      </c>
      <c r="D37" s="17" t="n">
        <v>-202.52</v>
      </c>
    </row>
    <row r="38">
      <c r="B38" s="15" t="inlineStr">
        <is>
          <t>12/01/2026</t>
        </is>
      </c>
      <c r="C38" s="16" t="inlineStr">
        <is>
          <t>PAGFOR FERIAS</t>
        </is>
      </c>
      <c r="D38" s="17" t="n">
        <v>-2721.88</v>
      </c>
    </row>
    <row r="39">
      <c r="B39" s="15" t="inlineStr">
        <is>
          <t>13/01/2026</t>
        </is>
      </c>
      <c r="C39" s="16" t="inlineStr">
        <is>
          <t>PFOR TIT OUTROS BANCOS</t>
        </is>
      </c>
      <c r="D39" s="17" t="n">
        <v>-180.28</v>
      </c>
    </row>
    <row r="40">
      <c r="B40" s="15" t="inlineStr">
        <is>
          <t>14/01/2026</t>
        </is>
      </c>
      <c r="C40" s="16" t="inlineStr">
        <is>
          <t>PFOR TIT OUTROS BANCOS</t>
        </is>
      </c>
      <c r="D40" s="17" t="n">
        <v>-280.33</v>
      </c>
    </row>
    <row r="41">
      <c r="B41" s="15" t="inlineStr">
        <is>
          <t>14/01/2026</t>
        </is>
      </c>
      <c r="C41" s="16" t="inlineStr">
        <is>
          <t>PAGFOR TED STR SD DISP</t>
        </is>
      </c>
      <c r="D41" s="17" t="n">
        <v>-400</v>
      </c>
    </row>
    <row r="42">
      <c r="B42" s="15" t="inlineStr">
        <is>
          <t>15/01/2026</t>
        </is>
      </c>
      <c r="C42" s="16" t="inlineStr">
        <is>
          <t>PFOR TIT OUTROS BANCOS</t>
        </is>
      </c>
      <c r="D42" s="17" t="n">
        <v>-6539.48</v>
      </c>
    </row>
    <row r="43">
      <c r="B43" s="15" t="inlineStr">
        <is>
          <t>15/01/2026</t>
        </is>
      </c>
      <c r="C43" s="16" t="inlineStr">
        <is>
          <t>PAGFOR TED STR SD DISP</t>
        </is>
      </c>
      <c r="D43" s="17" t="n">
        <v>-3850</v>
      </c>
    </row>
    <row r="44">
      <c r="B44" s="15" t="inlineStr">
        <is>
          <t>15/01/2026</t>
        </is>
      </c>
      <c r="C44" s="16" t="inlineStr">
        <is>
          <t>PIX QR CODE DINAMICO DES: CAIXA ECONOMICA FEDER 15/01</t>
        </is>
      </c>
      <c r="D44" s="17" t="n">
        <v>-5529.16</v>
      </c>
    </row>
    <row r="45">
      <c r="B45" s="15" t="inlineStr">
        <is>
          <t>15/01/2026</t>
        </is>
      </c>
      <c r="C45" s="16" t="inlineStr">
        <is>
          <t>CONTA DE AGUA SABESP-0066200946</t>
        </is>
      </c>
      <c r="D45" s="17" t="n">
        <v>-5357.43</v>
      </c>
    </row>
    <row r="46">
      <c r="B46" s="15" t="inlineStr">
        <is>
          <t>16/01/2026</t>
        </is>
      </c>
      <c r="C46" s="16" t="inlineStr">
        <is>
          <t>PFOR TIT OUTROS BANCOS</t>
        </is>
      </c>
      <c r="D46" s="17" t="n">
        <v>-1666.3</v>
      </c>
    </row>
    <row r="47">
      <c r="B47" s="15" t="inlineStr">
        <is>
          <t>16/01/2026</t>
        </is>
      </c>
      <c r="C47" s="16" t="inlineStr">
        <is>
          <t>PAGFOR TED STR SD DISP</t>
        </is>
      </c>
      <c r="D47" s="17" t="n">
        <v>-10035</v>
      </c>
    </row>
    <row r="48">
      <c r="B48" s="15" t="inlineStr">
        <is>
          <t>19/01/2026</t>
        </is>
      </c>
      <c r="C48" s="16" t="inlineStr">
        <is>
          <t>PFOR TIT OUTROS BANCOS</t>
        </is>
      </c>
      <c r="D48" s="17" t="n">
        <v>-313.51</v>
      </c>
    </row>
    <row r="49">
      <c r="B49" s="15" t="inlineStr">
        <is>
          <t>19/01/2026</t>
        </is>
      </c>
      <c r="C49" s="16" t="inlineStr">
        <is>
          <t>PAGTO ELETRONICO TRIBUTO PGIT - COD.BARRAS-RECEITA0385</t>
        </is>
      </c>
      <c r="D49" s="17" t="n">
        <v>-20206.86</v>
      </c>
    </row>
    <row r="50">
      <c r="B50" s="15" t="inlineStr">
        <is>
          <t>19/01/2026</t>
        </is>
      </c>
      <c r="C50" s="16" t="inlineStr">
        <is>
          <t>PAGFOR ADIANTAMENTO</t>
        </is>
      </c>
      <c r="D50" s="17" t="n">
        <v>-5849.94</v>
      </c>
    </row>
    <row r="51">
      <c r="B51" s="15" t="inlineStr">
        <is>
          <t>19/01/2026</t>
        </is>
      </c>
      <c r="C51" s="16" t="inlineStr">
        <is>
          <t>CONTA DE LUZ ENEL DISTRIB. SP-00041880559</t>
        </is>
      </c>
      <c r="D51" s="17" t="n">
        <v>-100.91</v>
      </c>
    </row>
    <row r="52">
      <c r="B52" s="15" t="inlineStr">
        <is>
          <t>20/01/2026</t>
        </is>
      </c>
      <c r="C52" s="16" t="inlineStr">
        <is>
          <t>PFOR TIT OUTROS BANCOS</t>
        </is>
      </c>
      <c r="D52" s="17" t="n">
        <v>-1180</v>
      </c>
    </row>
    <row r="53">
      <c r="B53" s="15" t="inlineStr">
        <is>
          <t>20/01/2026</t>
        </is>
      </c>
      <c r="C53" s="16" t="inlineStr">
        <is>
          <t>PAGFOR TED STR SD DISP</t>
        </is>
      </c>
      <c r="D53" s="17" t="n">
        <v>-1663.75</v>
      </c>
    </row>
    <row r="54">
      <c r="B54" s="15" t="inlineStr">
        <is>
          <t>20/01/2026</t>
        </is>
      </c>
      <c r="C54" s="16" t="inlineStr">
        <is>
          <t>PFOR TIT BRADESCO SD L</t>
        </is>
      </c>
      <c r="D54" s="17" t="n">
        <v>-244.61</v>
      </c>
    </row>
    <row r="55">
      <c r="B55" s="15" t="inlineStr">
        <is>
          <t>21/01/2026</t>
        </is>
      </c>
      <c r="C55" s="16" t="inlineStr">
        <is>
          <t>PFOR TIT OUTROS BANCOS</t>
        </is>
      </c>
      <c r="D55" s="17" t="n">
        <v>-9780.219999999999</v>
      </c>
    </row>
    <row r="56">
      <c r="B56" s="15" t="inlineStr">
        <is>
          <t>22/01/2026</t>
        </is>
      </c>
      <c r="C56" s="16" t="inlineStr">
        <is>
          <t>PFOR TIT OUTROS BANCOS</t>
        </is>
      </c>
      <c r="D56" s="17" t="n">
        <v>-73.3</v>
      </c>
    </row>
    <row r="57">
      <c r="B57" s="15" t="inlineStr">
        <is>
          <t>22/01/2026</t>
        </is>
      </c>
      <c r="C57" s="16" t="inlineStr">
        <is>
          <t>CONTA DE LUZ ENEL DISTRIB. SP-00000136944</t>
        </is>
      </c>
      <c r="D57" s="17" t="n">
        <v>-4253.17</v>
      </c>
    </row>
    <row r="58">
      <c r="B58" s="15" t="inlineStr">
        <is>
          <t>23/01/2026</t>
        </is>
      </c>
      <c r="C58" s="16" t="inlineStr">
        <is>
          <t>PFOR TIT OUTROS BANCOS</t>
        </is>
      </c>
      <c r="D58" s="17" t="n">
        <v>-2375.82</v>
      </c>
    </row>
    <row r="59">
      <c r="B59" s="15" t="inlineStr">
        <is>
          <t>26/01/2026</t>
        </is>
      </c>
      <c r="C59" s="16" t="inlineStr">
        <is>
          <t>PAGTO ELETRONICO TRIBUTO PGIT - COD.BARRAS-TELEFONICA0082</t>
        </is>
      </c>
      <c r="D59" s="17" t="n">
        <v>-49</v>
      </c>
    </row>
    <row r="60">
      <c r="B60" s="15" t="inlineStr">
        <is>
          <t>26/01/2026</t>
        </is>
      </c>
      <c r="C60" s="16" t="inlineStr">
        <is>
          <t>PFOR TIT BRADESCO SD L</t>
        </is>
      </c>
      <c r="D60" s="17" t="n">
        <v>-640.59</v>
      </c>
    </row>
    <row r="61">
      <c r="B61" s="15" t="inlineStr">
        <is>
          <t>27/01/2026</t>
        </is>
      </c>
      <c r="C61" s="16" t="inlineStr">
        <is>
          <t>PAGFOR TED STR SD DISP</t>
        </is>
      </c>
      <c r="D61" s="17" t="n">
        <v>-492.96</v>
      </c>
    </row>
    <row r="62">
      <c r="B62" s="15" t="inlineStr">
        <is>
          <t>28/01/2026</t>
        </is>
      </c>
      <c r="C62" s="16" t="inlineStr">
        <is>
          <t>PFOR TIT OUTROS BANCOS</t>
        </is>
      </c>
      <c r="D62" s="17" t="n">
        <v>-833.2</v>
      </c>
    </row>
    <row r="63">
      <c r="B63" s="15" t="inlineStr">
        <is>
          <t>28/01/2026</t>
        </is>
      </c>
      <c r="C63" s="16" t="inlineStr">
        <is>
          <t>CONTA DE GAS COMGAS/SP-03884031</t>
        </is>
      </c>
      <c r="D63" s="17" t="n">
        <v>-15.04</v>
      </c>
    </row>
    <row r="64">
      <c r="B64" s="15" t="inlineStr">
        <is>
          <t>28/01/2026</t>
        </is>
      </c>
      <c r="C64" s="16" t="inlineStr">
        <is>
          <t>CONTA DE GAS COMGAS/SP-03884058</t>
        </is>
      </c>
      <c r="D64" s="17" t="n">
        <v>-110.52</v>
      </c>
    </row>
    <row r="65">
      <c r="B65" s="15" t="inlineStr">
        <is>
          <t>29/01/2026</t>
        </is>
      </c>
      <c r="C65" s="16" t="inlineStr">
        <is>
          <t>PAGFOR C/C R TIME SD L</t>
        </is>
      </c>
      <c r="D65" s="17" t="n">
        <v>-38859.75</v>
      </c>
    </row>
    <row r="66">
      <c r="B66" s="15" t="inlineStr">
        <is>
          <t>30/01/2026</t>
        </is>
      </c>
      <c r="C66" s="16" t="inlineStr">
        <is>
          <t>PFOR TIT OUTROS BANCOS</t>
        </is>
      </c>
      <c r="D66" s="17" t="n">
        <v>-172.92</v>
      </c>
    </row>
    <row r="67">
      <c r="B67" s="15" t="inlineStr">
        <is>
          <t>30/01/2026</t>
        </is>
      </c>
      <c r="C67" s="16" t="inlineStr">
        <is>
          <t>PAGFOR TED STR SD DISP</t>
        </is>
      </c>
      <c r="D67" s="17" t="n">
        <v>-4835.37</v>
      </c>
    </row>
    <row r="68">
      <c r="B68" s="18" t="inlineStr">
        <is>
          <t>TOTAL</t>
        </is>
      </c>
      <c r="C68" s="4" t="n"/>
      <c r="D68" s="19">
        <f>SUM(D26:D67)</f>
        <v/>
      </c>
    </row>
    <row r="71">
      <c r="B71" s="2" t="inlineStr">
        <is>
          <t>Saldo Inicial:</t>
        </is>
      </c>
      <c r="C71" s="5" t="inlineStr">
        <is>
          <t>1,00</t>
        </is>
      </c>
    </row>
    <row r="72">
      <c r="B72" s="2" t="inlineStr">
        <is>
          <t>Saldo Final:</t>
        </is>
      </c>
      <c r="C72" s="5" t="n">
        <v>1</v>
      </c>
    </row>
  </sheetData>
  <mergeCells count="3">
    <mergeCell ref="B22:C22"/>
    <mergeCell ref="B68:C68"/>
    <mergeCell ref="B2:C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2026-04-06T17:09:24Z</dcterms:created>
  <dcterms:modified xmlns:dcterms="http://purl.org/dc/terms/" xmlns:xsi="http://www.w3.org/2001/XMLSchema-instance" xsi:type="dcterms:W3CDTF">2026-04-06T17:09:24Z</dcterms:modified>
</cp:coreProperties>
</file>
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'Tarifas'!$B$1:$E$38</definedName>
    <definedName name="_xlnm.Print_Titles" localSheetId="2">'Aplicacoes'!$12:$12</definedName>
    <definedName name="_xlnm.Print_Area" localSheetId="2">'Aplicacoes'!$B$1:$E$75</definedName>
    <definedName name="_xlnm.Print_Titles" localSheetId="3">'Geral'!$12:$12</definedName>
    <definedName name="_xlnm.Print_Area" localSheetId="3">'Geral'!$B$1:$E$67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0477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10477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tre</t>
        </is>
      </c>
    </row>
    <row r="5">
      <c r="B5" s="1" t="inlineStr">
        <is>
          <t>Agência/Conta:</t>
        </is>
      </c>
      <c r="C5" s="2" t="inlineStr">
        <is>
          <t>2846/15837-2</t>
        </is>
      </c>
    </row>
    <row r="6">
      <c r="B6" s="1" t="inlineStr">
        <is>
          <t>Período:</t>
        </is>
      </c>
      <c r="C6" s="2" t="n"/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inlineStr">
        <is>
          <t>1,00</t>
        </is>
      </c>
    </row>
    <row r="10">
      <c r="B10" s="2" t="inlineStr">
        <is>
          <t>Saldo Final:</t>
        </is>
      </c>
      <c r="C10" s="5" t="n">
        <v>118912.14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-335.0400000000001</v>
      </c>
    </row>
    <row r="14">
      <c r="B14" s="2" t="inlineStr">
        <is>
          <t>Total Créditos:</t>
        </is>
      </c>
      <c r="C14" s="7" t="n">
        <v>382885.97</v>
      </c>
    </row>
    <row r="15">
      <c r="B15" s="2" t="inlineStr">
        <is>
          <t>Total Débitos:</t>
        </is>
      </c>
      <c r="C15" s="6" t="n">
        <v>-263639.79</v>
      </c>
    </row>
    <row r="16">
      <c r="B16" s="2" t="inlineStr">
        <is>
          <t>Total Aplicações:</t>
        </is>
      </c>
      <c r="C16" s="5" t="n">
        <v>0</v>
      </c>
    </row>
    <row r="18">
      <c r="B18" s="1" t="inlineStr">
        <is>
          <t>APLICAÇÕES</t>
        </is>
      </c>
      <c r="C18" s="8" t="n"/>
    </row>
    <row r="20">
      <c r="B20" s="9" t="inlineStr">
        <is>
          <t>INVEST FACIL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  <row r="24">
      <c r="B24" s="9" t="inlineStr">
        <is>
          <t>SALDO INVEST</t>
        </is>
      </c>
      <c r="C24" s="4" t="n"/>
    </row>
    <row r="25">
      <c r="B25" s="4" t="inlineStr">
        <is>
          <t>Saldo Inicial:</t>
        </is>
      </c>
      <c r="C25" s="10" t="n">
        <v>0</v>
      </c>
    </row>
    <row r="26">
      <c r="B26" s="4" t="inlineStr">
        <is>
          <t>Saldo Final:</t>
        </is>
      </c>
      <c r="C26" s="10" t="n">
        <v>0</v>
      </c>
    </row>
    <row r="28">
      <c r="B28" s="9" t="inlineStr">
        <is>
          <t>Indefinido</t>
        </is>
      </c>
      <c r="C28" s="4" t="n"/>
    </row>
    <row r="29">
      <c r="B29" s="4" t="inlineStr">
        <is>
          <t>Saldo Inicial:</t>
        </is>
      </c>
      <c r="C29" s="10" t="n">
        <v>0</v>
      </c>
    </row>
    <row r="30">
      <c r="B30" s="4" t="inlineStr">
        <is>
          <t>Saldo Final:</t>
        </is>
      </c>
      <c r="C30" s="10" t="n">
        <v>0</v>
      </c>
    </row>
    <row r="32">
      <c r="B32" s="9" t="inlineStr">
        <is>
          <t>Indefinido2</t>
        </is>
      </c>
      <c r="C32" s="4" t="n"/>
    </row>
    <row r="33">
      <c r="B33" s="4" t="inlineStr">
        <is>
          <t>Saldo Inicial:</t>
        </is>
      </c>
      <c r="C33" s="10" t="n">
        <v>0</v>
      </c>
    </row>
    <row r="34">
      <c r="B34" s="4" t="inlineStr">
        <is>
          <t>Saldo Final:</t>
        </is>
      </c>
      <c r="C34" s="10" t="n">
        <v>0</v>
      </c>
    </row>
  </sheetData>
  <mergeCells count="8">
    <mergeCell ref="B24:C24"/>
    <mergeCell ref="B2:C2"/>
    <mergeCell ref="B20:C20"/>
    <mergeCell ref="B28:C28"/>
    <mergeCell ref="B32:C32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8" customWidth="1" min="5" max="5"/>
  </cols>
  <sheetData>
    <row r="2">
      <c r="B2" s="11" t="inlineStr">
        <is>
          <t>Bradesco</t>
        </is>
      </c>
    </row>
    <row r="5">
      <c r="B5" s="1" t="inlineStr">
        <is>
          <t>Nome:</t>
        </is>
      </c>
      <c r="C5" s="2" t="inlineStr">
        <is>
          <t>tre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n"/>
      <c r="D6" s="2" t="inlineStr">
        <is>
          <t>2846/15837-2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Debito (R$)</t>
        </is>
      </c>
    </row>
    <row r="13">
      <c r="B13" s="15" t="inlineStr">
        <is>
          <t>02/02/2026</t>
        </is>
      </c>
      <c r="C13" s="16" t="inlineStr">
        <is>
          <t>TARIFA REGISTRO COBRANCA NA BAIXA POR COMPENSACAO00000001</t>
        </is>
      </c>
      <c r="D13" s="17" t="n">
        <v>-1.66</v>
      </c>
    </row>
    <row r="14">
      <c r="B14" s="15" t="inlineStr">
        <is>
          <t>02/02/2026</t>
        </is>
      </c>
      <c r="C14" s="16" t="inlineStr">
        <is>
          <t>TARIFA REGISTRO COBRANCA NA BAIXA POR PAGAMENTO  00000002</t>
        </is>
      </c>
      <c r="D14" s="17" t="n">
        <v>-3.32</v>
      </c>
    </row>
    <row r="15">
      <c r="B15" s="15" t="inlineStr">
        <is>
          <t>03/02/2026</t>
        </is>
      </c>
      <c r="C15" s="16" t="inlineStr">
        <is>
          <t>TARIFA REGISTRO COBRANCA NA BAIXA POR PAGAMENTO  00000002</t>
        </is>
      </c>
      <c r="D15" s="17" t="n">
        <v>-3.32</v>
      </c>
    </row>
    <row r="16">
      <c r="B16" s="15" t="inlineStr">
        <is>
          <t>03/02/2026</t>
        </is>
      </c>
      <c r="C16" s="16" t="inlineStr">
        <is>
          <t>TARIFA REGISTRO COBRANCA NA BAIXA POR COMPENSACAO00000010</t>
        </is>
      </c>
      <c r="D16" s="17" t="n">
        <v>-16.6</v>
      </c>
    </row>
    <row r="17">
      <c r="B17" s="15" t="inlineStr">
        <is>
          <t>03/02/2026</t>
        </is>
      </c>
      <c r="C17" s="16" t="inlineStr">
        <is>
          <t>TARIFA AUTORIZ COBRANCA TIT.BX.DECURSO PRAZO    00000001</t>
        </is>
      </c>
      <c r="D17" s="17" t="n">
        <v>-0.3</v>
      </c>
    </row>
    <row r="18">
      <c r="B18" s="15" t="inlineStr">
        <is>
          <t>04/02/2026</t>
        </is>
      </c>
      <c r="C18" s="16" t="inlineStr">
        <is>
          <t>TARIFA REGISTRO COBRANCA NA BAIXA POR COMPENSACAO00000001</t>
        </is>
      </c>
      <c r="D18" s="17" t="n">
        <v>-1.66</v>
      </c>
    </row>
    <row r="19">
      <c r="B19" s="15" t="inlineStr">
        <is>
          <t>05/02/2026</t>
        </is>
      </c>
      <c r="C19" s="16" t="inlineStr">
        <is>
          <t>TARIFA REGISTRO COBRANCA NA BAIXA POR COMPENSACAO00000001</t>
        </is>
      </c>
      <c r="D19" s="17" t="n">
        <v>-1.66</v>
      </c>
    </row>
    <row r="20">
      <c r="B20" s="15" t="inlineStr">
        <is>
          <t>05/02/2026</t>
        </is>
      </c>
      <c r="C20" s="16" t="inlineStr">
        <is>
          <t>TARIFA LCTO CRED CONTA</t>
        </is>
      </c>
      <c r="D20" s="17" t="n">
        <v>-5.64</v>
      </c>
    </row>
    <row r="21">
      <c r="B21" s="15" t="inlineStr">
        <is>
          <t>06/02/2026</t>
        </is>
      </c>
      <c r="C21" s="16" t="inlineStr">
        <is>
          <t>TAR SERV TED STR PAGFOR</t>
        </is>
      </c>
      <c r="D21" s="17" t="n">
        <v>-21.92</v>
      </c>
    </row>
    <row r="22">
      <c r="B22" s="15" t="inlineStr">
        <is>
          <t>09/02/2026</t>
        </is>
      </c>
      <c r="C22" s="16" t="inlineStr">
        <is>
          <t>TARIFA REGISTRO COBRANCA NA BAIXA POR PAGAMENTO  00000001</t>
        </is>
      </c>
      <c r="D22" s="17" t="n">
        <v>-1.66</v>
      </c>
    </row>
    <row r="23">
      <c r="B23" s="15" t="inlineStr">
        <is>
          <t>11/02/2026</t>
        </is>
      </c>
      <c r="C23" s="16" t="inlineStr">
        <is>
          <t>TAR SERV TED STR PAGFOR</t>
        </is>
      </c>
      <c r="D23" s="17" t="n">
        <v>-10.96</v>
      </c>
    </row>
    <row r="24">
      <c r="B24" s="15" t="inlineStr">
        <is>
          <t>12/02/2026</t>
        </is>
      </c>
      <c r="C24" s="16" t="inlineStr">
        <is>
          <t>TAR SERV TED STR PAGFOR</t>
        </is>
      </c>
      <c r="D24" s="17" t="n">
        <v>-10.96</v>
      </c>
    </row>
    <row r="25">
      <c r="B25" s="15" t="inlineStr">
        <is>
          <t>13/02/2026</t>
        </is>
      </c>
      <c r="C25" s="16" t="inlineStr">
        <is>
          <t>TARIFA BANCARIA CestaEmpresarial2</t>
        </is>
      </c>
      <c r="D25" s="17" t="n">
        <v>-177.05</v>
      </c>
    </row>
    <row r="26">
      <c r="B26" s="15" t="inlineStr">
        <is>
          <t>18/02/2026</t>
        </is>
      </c>
      <c r="C26" s="16" t="inlineStr">
        <is>
          <t>TAR SERV TED STR PAGFOR</t>
        </is>
      </c>
      <c r="D26" s="17" t="n">
        <v>-10.96</v>
      </c>
    </row>
    <row r="27">
      <c r="B27" s="15" t="inlineStr">
        <is>
          <t>19/02/2026</t>
        </is>
      </c>
      <c r="C27" s="16" t="inlineStr">
        <is>
          <t>TARIFA LCTO CRED CONTA</t>
        </is>
      </c>
      <c r="D27" s="17" t="n">
        <v>-5.64</v>
      </c>
    </row>
    <row r="28">
      <c r="B28" s="15" t="inlineStr">
        <is>
          <t>20/02/2026</t>
        </is>
      </c>
      <c r="C28" s="16" t="inlineStr">
        <is>
          <t>TAR CC REAL TIME PAGFOR</t>
        </is>
      </c>
      <c r="D28" s="17" t="n">
        <v>-1.95</v>
      </c>
    </row>
    <row r="29">
      <c r="B29" s="15" t="inlineStr">
        <is>
          <t>23/02/2026</t>
        </is>
      </c>
      <c r="C29" s="16" t="inlineStr">
        <is>
          <t>TAR SERV TED STR PAGFOR</t>
        </is>
      </c>
      <c r="D29" s="17" t="n">
        <v>-21.92</v>
      </c>
    </row>
    <row r="30">
      <c r="B30" s="15" t="inlineStr">
        <is>
          <t>24/02/2026</t>
        </is>
      </c>
      <c r="C30" s="16" t="inlineStr">
        <is>
          <t>TAR SERV TED STR PAGFOR</t>
        </is>
      </c>
      <c r="D30" s="17" t="n">
        <v>-21.92</v>
      </c>
    </row>
    <row r="31">
      <c r="B31" s="15" t="inlineStr">
        <is>
          <t>26/02/2026</t>
        </is>
      </c>
      <c r="C31" s="16" t="inlineStr">
        <is>
          <t>TARIFA REGISTRO COBRANCA NA BAIXA POR COMPENSACAO00000001</t>
        </is>
      </c>
      <c r="D31" s="17" t="n">
        <v>-1.66</v>
      </c>
    </row>
    <row r="32">
      <c r="B32" s="15" t="inlineStr">
        <is>
          <t>26/02/2026</t>
        </is>
      </c>
      <c r="C32" s="16" t="inlineStr">
        <is>
          <t>TARIFA REGISTRO COBRANCA NA BAIXA POR PAGAMENTO  00000001</t>
        </is>
      </c>
      <c r="D32" s="17" t="n">
        <v>-1.66</v>
      </c>
    </row>
    <row r="33">
      <c r="B33" s="15" t="inlineStr">
        <is>
          <t>26/02/2026</t>
        </is>
      </c>
      <c r="C33" s="16" t="inlineStr">
        <is>
          <t>TAR SERV TED STR PAGFOR</t>
        </is>
      </c>
      <c r="D33" s="17" t="n">
        <v>-10.96</v>
      </c>
    </row>
    <row r="34">
      <c r="B34" s="15" t="inlineStr">
        <is>
          <t>27/02/2026</t>
        </is>
      </c>
      <c r="C34" s="16" t="inlineStr">
        <is>
          <t>TARIFA REGISTRO COBRANCA NA BAIXA POR PAGAMENTO  00000001</t>
        </is>
      </c>
      <c r="D34" s="17" t="n">
        <v>-1.66</v>
      </c>
    </row>
    <row r="35">
      <c r="B35" s="18" t="inlineStr">
        <is>
          <t>TOTAL</t>
        </is>
      </c>
      <c r="C35" s="4" t="n"/>
      <c r="D35" s="19">
        <f>SUM(D13:D34)</f>
        <v/>
      </c>
    </row>
  </sheetData>
  <mergeCells count="2">
    <mergeCell ref="B35:C35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7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Bradesco</t>
        </is>
      </c>
    </row>
    <row r="5">
      <c r="B5" s="1" t="inlineStr">
        <is>
          <t>Nome:</t>
        </is>
      </c>
      <c r="C5" s="2" t="inlineStr">
        <is>
          <t>tre</t>
        </is>
      </c>
      <c r="D5" s="1" t="inlineStr">
        <is>
          <t>Agência/Conta:</t>
        </is>
      </c>
      <c r="E5" s="2" t="inlineStr">
        <is>
          <t>2846/15837-2</t>
        </is>
      </c>
    </row>
    <row r="6">
      <c r="B6" s="1" t="inlineStr">
        <is>
          <t>Período:</t>
        </is>
      </c>
      <c r="C6" s="2" t="n"/>
      <c r="D6" s="4" t="n"/>
      <c r="E6" s="4" t="n"/>
    </row>
    <row r="9">
      <c r="B9" s="13" t="inlineStr">
        <is>
          <t>APLICAÇÕES</t>
        </is>
      </c>
    </row>
    <row r="12">
      <c r="B12" s="20" t="inlineStr">
        <is>
          <t>GRUPO: INVEST FACIL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05/02/2026</t>
        </is>
      </c>
      <c r="C14" s="16" t="inlineStr">
        <is>
          <t>RENTAB.INVEST FACILCRED*</t>
        </is>
      </c>
      <c r="D14" s="17" t="n"/>
      <c r="E14" s="21" t="n">
        <v>0.07000000000000001</v>
      </c>
    </row>
    <row r="15">
      <c r="B15" s="15" t="inlineStr">
        <is>
          <t>05/02/2026</t>
        </is>
      </c>
      <c r="C15" s="16" t="inlineStr">
        <is>
          <t>RENTAB.INVEST FACILCRED*</t>
        </is>
      </c>
      <c r="D15" s="17" t="n"/>
      <c r="E15" s="21" t="n">
        <v>0.13</v>
      </c>
    </row>
    <row r="16">
      <c r="B16" s="15" t="inlineStr">
        <is>
          <t>06/02/2026</t>
        </is>
      </c>
      <c r="C16" s="16" t="inlineStr">
        <is>
          <t>RENTAB.INVEST FACILCRED*</t>
        </is>
      </c>
      <c r="D16" s="17" t="n"/>
      <c r="E16" s="21" t="n">
        <v>0.04</v>
      </c>
    </row>
    <row r="17">
      <c r="B17" s="15" t="inlineStr">
        <is>
          <t>10/02/2026</t>
        </is>
      </c>
      <c r="C17" s="16" t="inlineStr">
        <is>
          <t>RENTAB.INVEST FACILCRED*</t>
        </is>
      </c>
      <c r="D17" s="17" t="n"/>
      <c r="E17" s="21" t="n">
        <v>0.07000000000000001</v>
      </c>
    </row>
    <row r="18">
      <c r="B18" s="15" t="inlineStr">
        <is>
          <t>11/02/2026</t>
        </is>
      </c>
      <c r="C18" s="16" t="inlineStr">
        <is>
          <t>RENTAB.INVEST FACILCRED*</t>
        </is>
      </c>
      <c r="D18" s="17" t="n"/>
      <c r="E18" s="21" t="n">
        <v>0.06</v>
      </c>
    </row>
    <row r="19">
      <c r="B19" s="15" t="inlineStr">
        <is>
          <t>12/02/2026</t>
        </is>
      </c>
      <c r="C19" s="16" t="inlineStr">
        <is>
          <t>RENTAB.INVEST FACILCRED*</t>
        </is>
      </c>
      <c r="D19" s="17" t="n"/>
      <c r="E19" s="21" t="n">
        <v>0.04</v>
      </c>
    </row>
    <row r="20">
      <c r="B20" s="15" t="inlineStr">
        <is>
          <t>13/02/2026</t>
        </is>
      </c>
      <c r="C20" s="16" t="inlineStr">
        <is>
          <t>RENTAB.INVEST FACILCRED*</t>
        </is>
      </c>
      <c r="D20" s="17" t="n"/>
      <c r="E20" s="21" t="n">
        <v>0.14</v>
      </c>
    </row>
    <row r="21">
      <c r="B21" s="15" t="inlineStr">
        <is>
          <t>18/02/2026</t>
        </is>
      </c>
      <c r="C21" s="16" t="inlineStr">
        <is>
          <t>RENTAB.INVEST FACILCRED*</t>
        </is>
      </c>
      <c r="D21" s="17" t="n"/>
      <c r="E21" s="21" t="n">
        <v>0.75</v>
      </c>
    </row>
    <row r="22">
      <c r="B22" s="15" t="inlineStr">
        <is>
          <t>19/02/2026</t>
        </is>
      </c>
      <c r="C22" s="16" t="inlineStr">
        <is>
          <t>RENTAB.INVEST FACILCRED*</t>
        </is>
      </c>
      <c r="D22" s="17" t="n"/>
      <c r="E22" s="21" t="n">
        <v>5.41</v>
      </c>
    </row>
    <row r="23">
      <c r="B23" s="15" t="inlineStr">
        <is>
          <t>20/02/2026</t>
        </is>
      </c>
      <c r="C23" s="16" t="inlineStr">
        <is>
          <t>RENTAB.INVEST FACILCRED*</t>
        </is>
      </c>
      <c r="D23" s="17" t="n"/>
      <c r="E23" s="21" t="n">
        <v>0.18</v>
      </c>
    </row>
    <row r="24">
      <c r="B24" s="15" t="inlineStr">
        <is>
          <t>23/02/2026</t>
        </is>
      </c>
      <c r="C24" s="16" t="inlineStr">
        <is>
          <t>RENTAB.INVEST FACILCRED*</t>
        </is>
      </c>
      <c r="D24" s="17" t="n"/>
      <c r="E24" s="21" t="n">
        <v>3.75</v>
      </c>
    </row>
    <row r="25">
      <c r="B25" s="15" t="inlineStr">
        <is>
          <t>24/02/2026</t>
        </is>
      </c>
      <c r="C25" s="16" t="inlineStr">
        <is>
          <t>RENTAB.INVEST FACILCRED*</t>
        </is>
      </c>
      <c r="D25" s="17" t="n"/>
      <c r="E25" s="21" t="n">
        <v>1.25</v>
      </c>
    </row>
    <row r="26">
      <c r="B26" s="15" t="inlineStr">
        <is>
          <t>25/02/2026</t>
        </is>
      </c>
      <c r="C26" s="16" t="inlineStr">
        <is>
          <t>RENTAB.INVEST FACILCRED*</t>
        </is>
      </c>
      <c r="D26" s="17" t="n"/>
      <c r="E26" s="21" t="n">
        <v>0.23</v>
      </c>
    </row>
    <row r="27">
      <c r="B27" s="18" t="inlineStr">
        <is>
          <t>TOTAL</t>
        </is>
      </c>
      <c r="C27" s="4" t="n"/>
      <c r="D27" s="19">
        <f>SUM(D14:D26)</f>
        <v/>
      </c>
      <c r="E27" s="19">
        <f>SUM(E14:E26)</f>
        <v/>
      </c>
    </row>
    <row r="28">
      <c r="D28" s="2" t="inlineStr">
        <is>
          <t>Saldo Inicial:</t>
        </is>
      </c>
      <c r="E28" s="10">
        <f>Resumo!C21</f>
        <v/>
      </c>
    </row>
    <row r="29">
      <c r="D29" s="2" t="inlineStr">
        <is>
          <t>Saldo Final:</t>
        </is>
      </c>
      <c r="E29" s="10">
        <f>Resumo!C22</f>
        <v/>
      </c>
    </row>
    <row r="30">
      <c r="D30" s="2" t="inlineStr">
        <is>
          <t>Rendimento:</t>
        </is>
      </c>
      <c r="E30" s="10">
        <f>Resumo!C22-(Resumo!C21+(-D27)-E27)</f>
        <v/>
      </c>
    </row>
    <row r="32">
      <c r="B32" s="22" t="inlineStr">
        <is>
          <t>GRUPO: SALDO INVEST</t>
        </is>
      </c>
      <c r="C32" s="23" t="n"/>
      <c r="D32" s="23" t="n"/>
      <c r="E32" s="24" t="n"/>
    </row>
    <row r="33">
      <c r="B33" s="14" t="inlineStr">
        <is>
          <t>Data</t>
        </is>
      </c>
      <c r="C33" s="14" t="inlineStr">
        <is>
          <t>Lançamento</t>
        </is>
      </c>
      <c r="D33" s="14" t="inlineStr">
        <is>
          <t>Aplicação (R$)</t>
        </is>
      </c>
      <c r="E33" s="14" t="inlineStr">
        <is>
          <t>Resgate (R$)</t>
        </is>
      </c>
    </row>
    <row r="34">
      <c r="B34" s="15" t="inlineStr">
        <is>
          <t>02/02/2026</t>
        </is>
      </c>
      <c r="C34" s="16" t="inlineStr">
        <is>
          <t>SALDO INVEST FÁCIL</t>
        </is>
      </c>
      <c r="D34" s="17" t="n">
        <v>-18261.95</v>
      </c>
      <c r="E34" s="21" t="n"/>
    </row>
    <row r="35">
      <c r="B35" s="15" t="inlineStr">
        <is>
          <t>03/02/2026</t>
        </is>
      </c>
      <c r="C35" s="16" t="inlineStr">
        <is>
          <t>SALDO INVEST FÁCIL</t>
        </is>
      </c>
      <c r="D35" s="17" t="n">
        <v>-175351.76</v>
      </c>
      <c r="E35" s="21" t="n"/>
    </row>
    <row r="36">
      <c r="B36" s="15" t="inlineStr">
        <is>
          <t>04/02/2026</t>
        </is>
      </c>
      <c r="C36" s="16" t="inlineStr">
        <is>
          <t>SALDO INVEST FÁCIL</t>
        </is>
      </c>
      <c r="D36" s="17" t="n">
        <v>-9877.16</v>
      </c>
      <c r="E36" s="21" t="n"/>
    </row>
    <row r="37">
      <c r="B37" s="15" t="inlineStr">
        <is>
          <t>05/02/2026</t>
        </is>
      </c>
      <c r="C37" s="16" t="inlineStr">
        <is>
          <t>SALDO INVEST FÁCIL</t>
        </is>
      </c>
      <c r="D37" s="17" t="n"/>
      <c r="E37" s="21" t="n">
        <v>39862.97</v>
      </c>
    </row>
    <row r="38">
      <c r="B38" s="15" t="inlineStr">
        <is>
          <t>06/02/2026</t>
        </is>
      </c>
      <c r="C38" s="16" t="inlineStr">
        <is>
          <t>SALDO INVEST FÁCIL</t>
        </is>
      </c>
      <c r="D38" s="17" t="n"/>
      <c r="E38" s="21" t="n">
        <v>6555.53</v>
      </c>
    </row>
    <row r="39">
      <c r="B39" s="15" t="inlineStr">
        <is>
          <t>09/02/2026</t>
        </is>
      </c>
      <c r="C39" s="16" t="inlineStr">
        <is>
          <t>SALDO INVEST FÁCIL</t>
        </is>
      </c>
      <c r="D39" s="17" t="n">
        <v>-10653.96</v>
      </c>
      <c r="E39" s="21" t="n"/>
    </row>
    <row r="40">
      <c r="B40" s="15" t="inlineStr">
        <is>
          <t>10/02/2026</t>
        </is>
      </c>
      <c r="C40" s="16" t="inlineStr">
        <is>
          <t>SALDO INVEST FÁCIL</t>
        </is>
      </c>
      <c r="D40" s="17" t="n"/>
      <c r="E40" s="21" t="n">
        <v>2834.11</v>
      </c>
    </row>
    <row r="41">
      <c r="B41" s="15" t="inlineStr">
        <is>
          <t>11/02/2026</t>
        </is>
      </c>
      <c r="C41" s="16" t="inlineStr">
        <is>
          <t>SALDO INVEST FÁCIL</t>
        </is>
      </c>
      <c r="D41" s="17" t="n"/>
      <c r="E41" s="21" t="n">
        <v>1706.63</v>
      </c>
    </row>
    <row r="42">
      <c r="B42" s="15" t="inlineStr">
        <is>
          <t>12/02/2026</t>
        </is>
      </c>
      <c r="C42" s="16" t="inlineStr">
        <is>
          <t>SALDO INVEST FÁCIL</t>
        </is>
      </c>
      <c r="D42" s="17" t="n"/>
      <c r="E42" s="21" t="n">
        <v>901.55</v>
      </c>
    </row>
    <row r="43">
      <c r="B43" s="15" t="inlineStr">
        <is>
          <t>13/02/2026</t>
        </is>
      </c>
      <c r="C43" s="16" t="inlineStr">
        <is>
          <t>SALDO INVEST FÁCIL</t>
        </is>
      </c>
      <c r="D43" s="17" t="n"/>
      <c r="E43" s="21" t="n">
        <v>2476.71</v>
      </c>
    </row>
    <row r="44">
      <c r="B44" s="15" t="inlineStr">
        <is>
          <t>18/02/2026</t>
        </is>
      </c>
      <c r="C44" s="16" t="inlineStr">
        <is>
          <t>SALDO INVEST FÁCIL</t>
        </is>
      </c>
      <c r="D44" s="17" t="n"/>
      <c r="E44" s="21" t="n">
        <v>7809.31</v>
      </c>
    </row>
    <row r="45">
      <c r="B45" s="15" t="inlineStr">
        <is>
          <t>19/02/2026</t>
        </is>
      </c>
      <c r="C45" s="16" t="inlineStr">
        <is>
          <t>SALDO INVEST FÁCIL</t>
        </is>
      </c>
      <c r="D45" s="17" t="n"/>
      <c r="E45" s="21" t="n">
        <v>46855.18</v>
      </c>
    </row>
    <row r="46">
      <c r="B46" s="15" t="inlineStr">
        <is>
          <t>20/02/2026</t>
        </is>
      </c>
      <c r="C46" s="16" t="inlineStr">
        <is>
          <t>SALDO INVEST FÁCIL</t>
        </is>
      </c>
      <c r="D46" s="17" t="n"/>
      <c r="E46" s="21" t="n">
        <v>1307.27</v>
      </c>
    </row>
    <row r="47">
      <c r="B47" s="15" t="inlineStr">
        <is>
          <t>23/02/2026</t>
        </is>
      </c>
      <c r="C47" s="16" t="inlineStr">
        <is>
          <t>SALDO INVEST FÁCIL</t>
        </is>
      </c>
      <c r="D47" s="17" t="n"/>
      <c r="E47" s="21" t="n">
        <v>21851.6</v>
      </c>
    </row>
    <row r="48">
      <c r="B48" s="15" t="inlineStr">
        <is>
          <t>24/02/2026</t>
        </is>
      </c>
      <c r="C48" s="16" t="inlineStr">
        <is>
          <t>SALDO INVEST FÁCIL</t>
        </is>
      </c>
      <c r="D48" s="17" t="n"/>
      <c r="E48" s="21" t="n">
        <v>6435.16</v>
      </c>
    </row>
    <row r="49">
      <c r="B49" s="15" t="inlineStr">
        <is>
          <t>25/02/2026</t>
        </is>
      </c>
      <c r="C49" s="16" t="inlineStr">
        <is>
          <t>SALDO INVEST FÁCIL</t>
        </is>
      </c>
      <c r="D49" s="17" t="n"/>
      <c r="E49" s="21" t="n">
        <v>1036.21</v>
      </c>
    </row>
    <row r="50">
      <c r="B50" s="15" t="inlineStr">
        <is>
          <t>26/02/2026</t>
        </is>
      </c>
      <c r="C50" s="16" t="inlineStr">
        <is>
          <t>SALDO INVEST FÁCIL</t>
        </is>
      </c>
      <c r="D50" s="17" t="n">
        <v>-28390.08</v>
      </c>
      <c r="E50" s="21" t="n"/>
    </row>
    <row r="51">
      <c r="B51" s="15" t="inlineStr">
        <is>
          <t>27/02/2026</t>
        </is>
      </c>
      <c r="C51" s="16" t="inlineStr">
        <is>
          <t>SALDO INVEST FÁCIL</t>
        </is>
      </c>
      <c r="D51" s="17" t="n">
        <v>-16039.64</v>
      </c>
      <c r="E51" s="21" t="n"/>
    </row>
    <row r="52">
      <c r="B52" s="18" t="inlineStr">
        <is>
          <t>TOTAL</t>
        </is>
      </c>
      <c r="C52" s="4" t="n"/>
      <c r="D52" s="19">
        <f>SUM(D34:D51)</f>
        <v/>
      </c>
      <c r="E52" s="19">
        <f>SUM(E34:E51)</f>
        <v/>
      </c>
    </row>
    <row r="53">
      <c r="D53" s="2" t="inlineStr">
        <is>
          <t>Saldo Inicial:</t>
        </is>
      </c>
      <c r="E53" s="10">
        <f>Resumo!C25</f>
        <v/>
      </c>
    </row>
    <row r="54">
      <c r="D54" s="2" t="inlineStr">
        <is>
          <t>Saldo Final:</t>
        </is>
      </c>
      <c r="E54" s="10">
        <f>Resumo!C26</f>
        <v/>
      </c>
    </row>
    <row r="55">
      <c r="D55" s="2" t="inlineStr">
        <is>
          <t>Rendimento:</t>
        </is>
      </c>
      <c r="E55" s="10">
        <f>Resumo!C26-(Resumo!C25+(-D52)-E52)</f>
        <v/>
      </c>
    </row>
    <row r="57">
      <c r="B57" s="22">
        <f>"GRUPO: "&amp;Resumo!B28</f>
        <v/>
      </c>
      <c r="C57" s="23" t="n"/>
      <c r="D57" s="23" t="n"/>
      <c r="E57" s="24" t="n"/>
    </row>
    <row r="58">
      <c r="B58" s="14" t="inlineStr">
        <is>
          <t>Data</t>
        </is>
      </c>
      <c r="C58" s="14" t="inlineStr">
        <is>
          <t>Lançamento</t>
        </is>
      </c>
      <c r="D58" s="14" t="inlineStr">
        <is>
          <t>Aplicação (R$)</t>
        </is>
      </c>
      <c r="E58" s="14" t="inlineStr">
        <is>
          <t>Resgate (R$)</t>
        </is>
      </c>
    </row>
    <row r="59">
      <c r="B59" s="25" t="inlineStr">
        <is>
          <t>Sem registros</t>
        </is>
      </c>
    </row>
    <row r="61">
      <c r="B61" s="18" t="inlineStr">
        <is>
          <t>TOTAL</t>
        </is>
      </c>
      <c r="C61" s="4" t="n"/>
      <c r="D61" s="19">
        <f>SUM(D59:D60)</f>
        <v/>
      </c>
      <c r="E61" s="19">
        <f>SUM(E59:E60)</f>
        <v/>
      </c>
    </row>
    <row r="62">
      <c r="D62" s="2" t="inlineStr">
        <is>
          <t>Saldo Inicial:</t>
        </is>
      </c>
      <c r="E62" s="10">
        <f>Resumo!C29</f>
        <v/>
      </c>
    </row>
    <row r="63">
      <c r="D63" s="2" t="inlineStr">
        <is>
          <t>Saldo Final:</t>
        </is>
      </c>
      <c r="E63" s="10">
        <f>Resumo!C30</f>
        <v/>
      </c>
    </row>
    <row r="64">
      <c r="D64" s="2" t="inlineStr">
        <is>
          <t>Rendimento:</t>
        </is>
      </c>
      <c r="E64" s="10">
        <f>Resumo!C30-(Resumo!C29+(-D61)-E61)</f>
        <v/>
      </c>
    </row>
    <row r="66">
      <c r="B66" s="22">
        <f>"GRUPO: "&amp;Resumo!B32</f>
        <v/>
      </c>
      <c r="C66" s="23" t="n"/>
      <c r="D66" s="23" t="n"/>
      <c r="E66" s="24" t="n"/>
    </row>
    <row r="67">
      <c r="B67" s="14" t="inlineStr">
        <is>
          <t>Data</t>
        </is>
      </c>
      <c r="C67" s="14" t="inlineStr">
        <is>
          <t>Lançamento</t>
        </is>
      </c>
      <c r="D67" s="14" t="inlineStr">
        <is>
          <t>Aplicação (R$)</t>
        </is>
      </c>
      <c r="E67" s="14" t="inlineStr">
        <is>
          <t>Resgate (R$)</t>
        </is>
      </c>
    </row>
    <row r="68">
      <c r="B68" s="25" t="inlineStr">
        <is>
          <t>Sem registros</t>
        </is>
      </c>
    </row>
    <row r="70">
      <c r="B70" s="18" t="inlineStr">
        <is>
          <t>TOTAL</t>
        </is>
      </c>
      <c r="C70" s="4" t="n"/>
      <c r="D70" s="19">
        <f>SUM(D68:D69)</f>
        <v/>
      </c>
      <c r="E70" s="19">
        <f>SUM(E68:E69)</f>
        <v/>
      </c>
    </row>
    <row r="71">
      <c r="D71" s="2" t="inlineStr">
        <is>
          <t>Saldo Inicial:</t>
        </is>
      </c>
      <c r="E71" s="10">
        <f>Resumo!C33</f>
        <v/>
      </c>
    </row>
    <row r="72">
      <c r="D72" s="2" t="inlineStr">
        <is>
          <t>Saldo Final:</t>
        </is>
      </c>
      <c r="E72" s="10">
        <f>Resumo!C34</f>
        <v/>
      </c>
    </row>
    <row r="73">
      <c r="D73" s="2" t="inlineStr">
        <is>
          <t>Rendimento:</t>
        </is>
      </c>
      <c r="E73" s="10">
        <f>Resumo!C34-(Resumo!C33+(-D70)-E70)</f>
        <v/>
      </c>
    </row>
    <row r="75">
      <c r="E75" s="5" t="n"/>
    </row>
  </sheetData>
  <mergeCells count="9">
    <mergeCell ref="B52:C52"/>
    <mergeCell ref="B70:C70"/>
    <mergeCell ref="B2:C2"/>
    <mergeCell ref="B57:E57"/>
    <mergeCell ref="B12:E12"/>
    <mergeCell ref="B61:C61"/>
    <mergeCell ref="B27:C27"/>
    <mergeCell ref="B66:E66"/>
    <mergeCell ref="B32:E3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6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Bradesco</t>
        </is>
      </c>
    </row>
    <row r="5">
      <c r="B5" s="1" t="inlineStr">
        <is>
          <t>Nome:</t>
        </is>
      </c>
      <c r="C5" s="2" t="inlineStr">
        <is>
          <t>tre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n"/>
      <c r="D6" s="2" t="inlineStr">
        <is>
          <t>2846/15837-2</t>
        </is>
      </c>
    </row>
    <row r="9">
      <c r="B9" s="13" t="inlineStr">
        <is>
          <t>GERAL</t>
        </is>
      </c>
    </row>
    <row r="10">
      <c r="B10" s="13" t="inlineStr">
        <is>
          <t>CRÉDITOS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</row>
    <row r="13">
      <c r="B13" s="15" t="inlineStr">
        <is>
          <t>02/02/2026</t>
        </is>
      </c>
      <c r="C13" s="16" t="inlineStr">
        <is>
          <t>LIQUIDACAO DE COBRANCA VALOR DISPONIVEL</t>
        </is>
      </c>
      <c r="D13" s="21" t="n">
        <v>40388.3</v>
      </c>
    </row>
    <row r="14">
      <c r="B14" s="15" t="inlineStr">
        <is>
          <t>03/02/2026</t>
        </is>
      </c>
      <c r="C14" s="16" t="inlineStr">
        <is>
          <t>LIQUIDACAO DE COBRANCA VALOR DISPONIVEL</t>
        </is>
      </c>
      <c r="D14" s="21" t="n">
        <v>177137.29</v>
      </c>
    </row>
    <row r="15">
      <c r="B15" s="15" t="inlineStr">
        <is>
          <t>04/02/2026</t>
        </is>
      </c>
      <c r="C15" s="16" t="inlineStr">
        <is>
          <t>LIQUIDACAO DE COBRANCA VALOR DISPONIVEL</t>
        </is>
      </c>
      <c r="D15" s="21" t="n">
        <v>14231.66</v>
      </c>
    </row>
    <row r="16">
      <c r="B16" s="15" t="inlineStr">
        <is>
          <t>05/02/2026</t>
        </is>
      </c>
      <c r="C16" s="16" t="inlineStr">
        <is>
          <t>LIQUIDACAO DE COBRANCA VALOR DISPONIVEL</t>
        </is>
      </c>
      <c r="D16" s="21" t="n">
        <v>81801.45</v>
      </c>
    </row>
    <row r="17">
      <c r="B17" s="15" t="inlineStr">
        <is>
          <t>09/02/2026</t>
        </is>
      </c>
      <c r="C17" s="16" t="inlineStr">
        <is>
          <t>LIQUIDACAO DE COBRANCA VALOR DISPONIVEL</t>
        </is>
      </c>
      <c r="D17" s="21" t="n">
        <v>13213.7</v>
      </c>
    </row>
    <row r="18">
      <c r="B18" s="15" t="inlineStr">
        <is>
          <t>26/02/2026</t>
        </is>
      </c>
      <c r="C18" s="16" t="inlineStr">
        <is>
          <t>LIQUIDACAO DE COBRANCA VALOR DISPONIVEL</t>
        </is>
      </c>
      <c r="D18" s="21" t="n">
        <v>40062.99</v>
      </c>
    </row>
    <row r="19">
      <c r="B19" s="15" t="inlineStr">
        <is>
          <t>27/02/2026</t>
        </is>
      </c>
      <c r="C19" s="16" t="inlineStr">
        <is>
          <t>LIQUIDACAO DE COBRANCA VALOR DISPONIVEL</t>
        </is>
      </c>
      <c r="D19" s="21" t="n">
        <v>14473.84</v>
      </c>
    </row>
    <row r="20">
      <c r="B20" s="15" t="inlineStr">
        <is>
          <t>27/02/2026</t>
        </is>
      </c>
      <c r="C20" s="16" t="inlineStr">
        <is>
          <t>TED-TRANSF ELET DISPON REMET.EDIFICIO VITRA</t>
        </is>
      </c>
      <c r="D20" s="21" t="n">
        <v>1564.62</v>
      </c>
    </row>
    <row r="21">
      <c r="B21" s="18" t="inlineStr">
        <is>
          <t>TOTAL</t>
        </is>
      </c>
      <c r="C21" s="4" t="n"/>
      <c r="D21" s="19">
        <f>SUM(D13:D20)</f>
        <v/>
      </c>
    </row>
    <row r="22">
      <c r="B22" s="13" t="inlineStr">
        <is>
          <t>DÉBITOS</t>
        </is>
      </c>
    </row>
    <row r="24">
      <c r="B24" s="14" t="inlineStr">
        <is>
          <t>Data</t>
        </is>
      </c>
      <c r="C24" s="14" t="inlineStr">
        <is>
          <t>Lançamento</t>
        </is>
      </c>
      <c r="D24" s="14" t="inlineStr">
        <is>
          <t>Debito (R$)</t>
        </is>
      </c>
    </row>
    <row r="25">
      <c r="B25" s="15" t="inlineStr">
        <is>
          <t>02/02/2026</t>
        </is>
      </c>
      <c r="C25" s="16" t="inlineStr">
        <is>
          <t>PFOR TIT OUTROS BANCOS</t>
        </is>
      </c>
      <c r="D25" s="17" t="n">
        <v>-2060</v>
      </c>
    </row>
    <row r="26">
      <c r="B26" s="15" t="inlineStr">
        <is>
          <t>02/02/2026</t>
        </is>
      </c>
      <c r="C26" s="16" t="inlineStr">
        <is>
          <t>CONTA DE GAS COMGAS/SP-22903542</t>
        </is>
      </c>
      <c r="D26" s="17" t="n">
        <v>-15944.51</v>
      </c>
    </row>
    <row r="27">
      <c r="B27" s="15" t="inlineStr">
        <is>
          <t>02/02/2026</t>
        </is>
      </c>
      <c r="C27" s="16" t="inlineStr">
        <is>
          <t>CONTA DE GAS COMGAS/SP-22906703</t>
        </is>
      </c>
      <c r="D27" s="17" t="n">
        <v>-4115.86</v>
      </c>
    </row>
    <row r="28">
      <c r="B28" s="15" t="inlineStr">
        <is>
          <t>03/02/2026</t>
        </is>
      </c>
      <c r="C28" s="16" t="inlineStr">
        <is>
          <t>PFOR TIT OUTROS BANCOS</t>
        </is>
      </c>
      <c r="D28" s="17" t="n">
        <v>-1257.14</v>
      </c>
    </row>
    <row r="29">
      <c r="B29" s="15" t="inlineStr">
        <is>
          <t>03/02/2026</t>
        </is>
      </c>
      <c r="C29" s="16" t="inlineStr">
        <is>
          <t>PFOR TIT BRADESCO SD L</t>
        </is>
      </c>
      <c r="D29" s="17" t="n">
        <v>-389.09</v>
      </c>
    </row>
    <row r="30">
      <c r="B30" s="15" t="inlineStr">
        <is>
          <t>03/02/2026</t>
        </is>
      </c>
      <c r="C30" s="16" t="inlineStr">
        <is>
          <t>CONTA DE TELEFONE CLARO S/A - MOVEL-134191889</t>
        </is>
      </c>
      <c r="D30" s="17" t="n">
        <v>-119.58</v>
      </c>
    </row>
    <row r="31">
      <c r="B31" s="15" t="inlineStr">
        <is>
          <t>04/02/2026</t>
        </is>
      </c>
      <c r="C31" s="16" t="inlineStr">
        <is>
          <t>PFOR TIT OUTROS BANCOS</t>
        </is>
      </c>
      <c r="D31" s="17" t="n">
        <v>-3089.07</v>
      </c>
    </row>
    <row r="32">
      <c r="B32" s="15" t="inlineStr">
        <is>
          <t>04/02/2026</t>
        </is>
      </c>
      <c r="C32" s="16" t="inlineStr">
        <is>
          <t>PFOR TIT BRADESCO SD L</t>
        </is>
      </c>
      <c r="D32" s="17" t="n">
        <v>-1269.1</v>
      </c>
    </row>
    <row r="33">
      <c r="B33" s="15" t="inlineStr">
        <is>
          <t>05/02/2026</t>
        </is>
      </c>
      <c r="C33" s="16" t="inlineStr">
        <is>
          <t>PAGAMENTO FUNCIONARIOS</t>
        </is>
      </c>
      <c r="D33" s="17" t="n">
        <v>-4741.27</v>
      </c>
    </row>
    <row r="34">
      <c r="B34" s="15" t="inlineStr">
        <is>
          <t>05/02/2026</t>
        </is>
      </c>
      <c r="C34" s="16" t="inlineStr">
        <is>
          <t>PFOR TIT OUTROS BANCOS</t>
        </is>
      </c>
      <c r="D34" s="17" t="n">
        <v>-105105.51</v>
      </c>
    </row>
    <row r="35">
      <c r="B35" s="15" t="inlineStr">
        <is>
          <t>05/02/2026</t>
        </is>
      </c>
      <c r="C35" s="16" t="inlineStr">
        <is>
          <t>PFOR TIT BRADESCO SD L</t>
        </is>
      </c>
      <c r="D35" s="17" t="n">
        <v>-11813.45</v>
      </c>
    </row>
    <row r="36">
      <c r="B36" s="15" t="inlineStr">
        <is>
          <t>06/02/2026</t>
        </is>
      </c>
      <c r="C36" s="16" t="inlineStr">
        <is>
          <t>PFOR TIT OUTROS BANCOS</t>
        </is>
      </c>
      <c r="D36" s="17" t="n">
        <v>-45.03</v>
      </c>
    </row>
    <row r="37">
      <c r="B37" s="15" t="inlineStr">
        <is>
          <t>06/02/2026</t>
        </is>
      </c>
      <c r="C37" s="16" t="inlineStr">
        <is>
          <t>PAGFOR TED STR SD DISP</t>
        </is>
      </c>
      <c r="D37" s="17" t="n">
        <v>-6492.59</v>
      </c>
    </row>
    <row r="38">
      <c r="B38" s="15" t="inlineStr">
        <is>
          <t>09/02/2026</t>
        </is>
      </c>
      <c r="C38" s="16" t="inlineStr">
        <is>
          <t>PAGTO ELETRONICO TRIBUTO PGIT - COD.BARRAS-PMSP5701</t>
        </is>
      </c>
      <c r="D38" s="17" t="n">
        <v>-2562.41</v>
      </c>
    </row>
    <row r="39">
      <c r="B39" s="15" t="inlineStr">
        <is>
          <t>10/02/2026</t>
        </is>
      </c>
      <c r="C39" s="16" t="inlineStr">
        <is>
          <t>TV POR ASSINATURA CLARO SA-RESIDENCIAL-4780072</t>
        </is>
      </c>
      <c r="D39" s="17" t="n">
        <v>-584.21</v>
      </c>
    </row>
    <row r="40">
      <c r="B40" s="15" t="inlineStr">
        <is>
          <t>10/02/2026</t>
        </is>
      </c>
      <c r="C40" s="16" t="inlineStr">
        <is>
          <t>PFOR TIT OUTROS BANCOS</t>
        </is>
      </c>
      <c r="D40" s="17" t="n">
        <v>-2254.19</v>
      </c>
    </row>
    <row r="41">
      <c r="B41" s="15" t="inlineStr">
        <is>
          <t>11/02/2026</t>
        </is>
      </c>
      <c r="C41" s="16" t="inlineStr">
        <is>
          <t>PAGFOR TED STR SD DISP</t>
        </is>
      </c>
      <c r="D41" s="17" t="n">
        <v>-1700</v>
      </c>
    </row>
    <row r="42">
      <c r="B42" s="15" t="inlineStr">
        <is>
          <t>12/02/2026</t>
        </is>
      </c>
      <c r="C42" s="16" t="inlineStr">
        <is>
          <t>PFOR TIT OUTROS BANCOS</t>
        </is>
      </c>
      <c r="D42" s="17" t="n">
        <v>-126</v>
      </c>
    </row>
    <row r="43">
      <c r="B43" s="15" t="inlineStr">
        <is>
          <t>12/02/2026</t>
        </is>
      </c>
      <c r="C43" s="16" t="inlineStr">
        <is>
          <t>PAGFOR TED STR SD DISP</t>
        </is>
      </c>
      <c r="D43" s="17" t="n">
        <v>-768.96</v>
      </c>
    </row>
    <row r="44">
      <c r="B44" s="15" t="inlineStr">
        <is>
          <t>13/02/2026</t>
        </is>
      </c>
      <c r="C44" s="16" t="inlineStr">
        <is>
          <t>PIX QR CODE DINAMICO DES: CAIXA ECONOMICA FEDER 13/02</t>
        </is>
      </c>
      <c r="D44" s="17" t="n">
        <v>-2303.72</v>
      </c>
    </row>
    <row r="45">
      <c r="B45" s="15" t="inlineStr">
        <is>
          <t>18/02/2026</t>
        </is>
      </c>
      <c r="C45" s="16" t="inlineStr">
        <is>
          <t>PFOR TIT OUTROS BANCOS</t>
        </is>
      </c>
      <c r="D45" s="17" t="n">
        <v>-4250.78</v>
      </c>
    </row>
    <row r="46">
      <c r="B46" s="15" t="inlineStr">
        <is>
          <t>18/02/2026</t>
        </is>
      </c>
      <c r="C46" s="16" t="inlineStr">
        <is>
          <t>PAGFOR TED STR SD DISP</t>
        </is>
      </c>
      <c r="D46" s="17" t="n">
        <v>-80.76000000000001</v>
      </c>
    </row>
    <row r="47">
      <c r="B47" s="15" t="inlineStr">
        <is>
          <t>18/02/2026</t>
        </is>
      </c>
      <c r="C47" s="16" t="inlineStr">
        <is>
          <t>PFOR TIT BRADESCO SD L</t>
        </is>
      </c>
      <c r="D47" s="17" t="n">
        <v>-3263.32</v>
      </c>
    </row>
    <row r="48">
      <c r="B48" s="15" t="inlineStr">
        <is>
          <t>18/02/2026</t>
        </is>
      </c>
      <c r="C48" s="16" t="inlineStr">
        <is>
          <t>CONTA DE TELEFONE VIVO FIXO-NAC 13 DIG-4742307</t>
        </is>
      </c>
      <c r="D48" s="17" t="n">
        <v>-206.7</v>
      </c>
    </row>
    <row r="49">
      <c r="B49" s="15" t="inlineStr">
        <is>
          <t>19/02/2026</t>
        </is>
      </c>
      <c r="C49" s="16" t="inlineStr">
        <is>
          <t>PFOR TIT OUTROS BANCOS</t>
        </is>
      </c>
      <c r="D49" s="17" t="n">
        <v>-4438.3</v>
      </c>
    </row>
    <row r="50">
      <c r="B50" s="15" t="inlineStr">
        <is>
          <t>19/02/2026</t>
        </is>
      </c>
      <c r="C50" s="16" t="inlineStr">
        <is>
          <t>PAGTO ELETRONICO TRIBUTO PGIT - COD.BARRAS-RECEITA0385</t>
        </is>
      </c>
      <c r="D50" s="17" t="n">
        <v>-22819.34</v>
      </c>
    </row>
    <row r="51">
      <c r="B51" s="15" t="inlineStr">
        <is>
          <t>19/02/2026</t>
        </is>
      </c>
      <c r="C51" s="16" t="inlineStr">
        <is>
          <t>PAGFOR ADIANTAMENTO</t>
        </is>
      </c>
      <c r="D51" s="17" t="n">
        <v>-3027.52</v>
      </c>
    </row>
    <row r="52">
      <c r="B52" s="15" t="inlineStr">
        <is>
          <t>19/02/2026</t>
        </is>
      </c>
      <c r="C52" s="16" t="inlineStr">
        <is>
          <t>CONTA DE GAS COMGAS/SP-22903542</t>
        </is>
      </c>
      <c r="D52" s="17" t="n">
        <v>-16469.14</v>
      </c>
    </row>
    <row r="53">
      <c r="B53" s="15" t="inlineStr">
        <is>
          <t>19/02/2026</t>
        </is>
      </c>
      <c r="C53" s="16" t="inlineStr">
        <is>
          <t>CONTA DE GAS COMGAS/SP-22906703</t>
        </is>
      </c>
      <c r="D53" s="17" t="n">
        <v>-91.93000000000001</v>
      </c>
    </row>
    <row r="54">
      <c r="B54" s="15" t="inlineStr">
        <is>
          <t>20/02/2026</t>
        </is>
      </c>
      <c r="C54" s="16" t="inlineStr">
        <is>
          <t>PAGFOR C/C R TIME SD L</t>
        </is>
      </c>
      <c r="D54" s="17" t="n">
        <v>-1308</v>
      </c>
    </row>
    <row r="55">
      <c r="B55" s="15" t="inlineStr">
        <is>
          <t>23/02/2026</t>
        </is>
      </c>
      <c r="C55" s="16" t="inlineStr">
        <is>
          <t>PAGFOR TED STR SD DISP</t>
        </is>
      </c>
      <c r="D55" s="17" t="n">
        <v>-555.23</v>
      </c>
    </row>
    <row r="56">
      <c r="B56" s="15" t="inlineStr">
        <is>
          <t>23/02/2026</t>
        </is>
      </c>
      <c r="C56" s="16" t="inlineStr">
        <is>
          <t>CONTA DE LUZ ENEL DISTRIB. SP-00106263362</t>
        </is>
      </c>
      <c r="D56" s="17" t="n">
        <v>-9367.35</v>
      </c>
    </row>
    <row r="57">
      <c r="B57" s="15" t="inlineStr">
        <is>
          <t>23/02/2026</t>
        </is>
      </c>
      <c r="C57" s="16" t="inlineStr">
        <is>
          <t>CONTA DE AGUA SABESP-3276245231</t>
        </is>
      </c>
      <c r="D57" s="17" t="n">
        <v>-11906.48</v>
      </c>
    </row>
    <row r="58">
      <c r="B58" s="15" t="inlineStr">
        <is>
          <t>24/02/2026</t>
        </is>
      </c>
      <c r="C58" s="16" t="inlineStr">
        <is>
          <t>PAGFOR TED STR SD DISP</t>
        </is>
      </c>
      <c r="D58" s="17" t="n">
        <v>-6414.45</v>
      </c>
    </row>
    <row r="59">
      <c r="B59" s="15" t="inlineStr">
        <is>
          <t>25/02/2026</t>
        </is>
      </c>
      <c r="C59" s="16" t="inlineStr">
        <is>
          <t>PFOR TIT OUTROS BANCOS</t>
        </is>
      </c>
      <c r="D59" s="17" t="n">
        <v>-1038.11</v>
      </c>
    </row>
    <row r="60">
      <c r="B60" s="15" t="inlineStr">
        <is>
          <t>26/02/2026</t>
        </is>
      </c>
      <c r="C60" s="16" t="inlineStr">
        <is>
          <t>PFOR TIT OUTROS BANCOS</t>
        </is>
      </c>
      <c r="D60" s="17" t="n">
        <v>-10764.4</v>
      </c>
    </row>
    <row r="61">
      <c r="B61" s="15" t="inlineStr">
        <is>
          <t>26/02/2026</t>
        </is>
      </c>
      <c r="C61" s="16" t="inlineStr">
        <is>
          <t>PAGFOR TED STR SD DISP</t>
        </is>
      </c>
      <c r="D61" s="17" t="n">
        <v>-896.29</v>
      </c>
    </row>
    <row r="62">
      <c r="B62" s="18" t="inlineStr">
        <is>
          <t>TOTAL</t>
        </is>
      </c>
      <c r="C62" s="4" t="n"/>
      <c r="D62" s="19">
        <f>SUM(D25:D61)</f>
        <v/>
      </c>
    </row>
    <row r="65">
      <c r="B65" s="2" t="inlineStr">
        <is>
          <t>Saldo Inicial:</t>
        </is>
      </c>
      <c r="C65" s="5" t="inlineStr">
        <is>
          <t>1,00</t>
        </is>
      </c>
    </row>
    <row r="66">
      <c r="B66" s="2" t="inlineStr">
        <is>
          <t>Saldo Final:</t>
        </is>
      </c>
      <c r="C66" s="5" t="n">
        <v>118912.14</v>
      </c>
    </row>
  </sheetData>
  <mergeCells count="3">
    <mergeCell ref="B62:C62"/>
    <mergeCell ref="B21:C21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2026-04-09T17:50:40Z</dcterms:created>
  <dcterms:modified xmlns:dcterms="http://purl.org/dc/terms/" xmlns:xsi="http://www.w3.org/2001/XMLSchema-instance" xsi:type="dcterms:W3CDTF">2026-04-09T17:50:40Z</dcterms:modified>
</cp:coreProperties>
</file>
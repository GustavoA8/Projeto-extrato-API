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'Tarifas'!$B$1:$E$49</definedName>
    <definedName name="_xlnm.Print_Titles" localSheetId="2">'Aplicacoes'!$12:$12</definedName>
    <definedName name="_xlnm.Print_Area" localSheetId="2">'Aplicacoes'!$B$1:$E$58</definedName>
    <definedName name="_xlnm.Print_Titles" localSheetId="3">'Geral'!$12:$12</definedName>
    <definedName name="_xlnm.Print_Area" localSheetId="3">'Geral'!$B$1:$E$94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6482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6482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46482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46482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teste</t>
        </is>
      </c>
    </row>
    <row r="5">
      <c r="B5" s="1" t="inlineStr">
        <is>
          <t>Agência/Conta:</t>
        </is>
      </c>
      <c r="C5" s="2" t="inlineStr">
        <is>
          <t>2050/130063262</t>
        </is>
      </c>
    </row>
    <row r="6">
      <c r="B6" s="1" t="inlineStr">
        <is>
          <t>Período:</t>
        </is>
      </c>
      <c r="C6" s="2" t="n"/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n">
        <v>0</v>
      </c>
    </row>
    <row r="10">
      <c r="B10" s="2" t="inlineStr">
        <is>
          <t>Saldo Final:</t>
        </is>
      </c>
      <c r="C10" s="5" t="n">
        <v>0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-224.3200000000001</v>
      </c>
    </row>
    <row r="14">
      <c r="B14" s="2" t="inlineStr">
        <is>
          <t>Total Créditos:</t>
        </is>
      </c>
      <c r="C14" s="7" t="n">
        <v>791448.5299999999</v>
      </c>
    </row>
    <row r="15">
      <c r="B15" s="2" t="inlineStr">
        <is>
          <t>Total Débitos:</t>
        </is>
      </c>
      <c r="C15" s="6" t="n">
        <v>-769896.4599999998</v>
      </c>
    </row>
    <row r="16">
      <c r="B16" s="2" t="inlineStr">
        <is>
          <t>Total Aplicações:</t>
        </is>
      </c>
      <c r="C16" s="5" t="n">
        <v>-566146.9</v>
      </c>
    </row>
    <row r="18">
      <c r="B18" s="1" t="inlineStr">
        <is>
          <t>APLICAÇÕES</t>
        </is>
      </c>
      <c r="C18" s="8" t="n"/>
    </row>
    <row r="20">
      <c r="B20" s="9" t="inlineStr">
        <is>
          <t>contamax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  <row r="24">
      <c r="B24" s="9" t="inlineStr">
        <is>
          <t>Indefinido</t>
        </is>
      </c>
      <c r="C24" s="4" t="n"/>
    </row>
    <row r="25">
      <c r="B25" s="4" t="inlineStr">
        <is>
          <t>Saldo Inicial:</t>
        </is>
      </c>
      <c r="C25" s="10" t="n">
        <v>0</v>
      </c>
    </row>
    <row r="26">
      <c r="B26" s="4" t="inlineStr">
        <is>
          <t>Saldo Final:</t>
        </is>
      </c>
      <c r="C26" s="10" t="n">
        <v>0</v>
      </c>
    </row>
    <row r="28">
      <c r="B28" s="9" t="inlineStr">
        <is>
          <t>Indefinido2</t>
        </is>
      </c>
      <c r="C28" s="4" t="n"/>
    </row>
    <row r="29">
      <c r="B29" s="4" t="inlineStr">
        <is>
          <t>Saldo Inicial:</t>
        </is>
      </c>
      <c r="C29" s="10" t="n">
        <v>0</v>
      </c>
    </row>
    <row r="30">
      <c r="B30" s="4" t="inlineStr">
        <is>
          <t>Saldo Final:</t>
        </is>
      </c>
      <c r="C30" s="10" t="n">
        <v>0</v>
      </c>
    </row>
  </sheetData>
  <mergeCells count="7">
    <mergeCell ref="B24:C24"/>
    <mergeCell ref="B2:C2"/>
    <mergeCell ref="B20:C20"/>
    <mergeCell ref="B28:C28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8" customWidth="1" min="5" max="5"/>
  </cols>
  <sheetData>
    <row r="2">
      <c r="B2" s="11" t="inlineStr">
        <is>
          <t>Santander</t>
        </is>
      </c>
    </row>
    <row r="5">
      <c r="B5" s="1" t="inlineStr">
        <is>
          <t>Nome:</t>
        </is>
      </c>
      <c r="C5" s="2" t="inlineStr">
        <is>
          <t>teste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n"/>
      <c r="D6" s="2" t="inlineStr">
        <is>
          <t>2050/130063262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Debito (R$)</t>
        </is>
      </c>
    </row>
    <row r="13">
      <c r="B13" s="15" t="inlineStr">
        <is>
          <t>02/03/2026</t>
        </is>
      </c>
      <c r="C13" s="16" t="inlineStr">
        <is>
          <t xml:space="preserve">TAR EXTRATO CONCILIACAO BANCARIA                            </t>
        </is>
      </c>
      <c r="D13" s="17" t="n">
        <v>-30.6</v>
      </c>
    </row>
    <row r="14">
      <c r="B14" s="15" t="inlineStr">
        <is>
          <t>02/03/2026</t>
        </is>
      </c>
      <c r="C14" s="16" t="inlineStr">
        <is>
          <t xml:space="preserve">TAR LIQ COB COM REG COMPE                                   </t>
        </is>
      </c>
      <c r="D14" s="17" t="n">
        <v>-2.44</v>
      </c>
    </row>
    <row r="15">
      <c r="B15" s="15" t="inlineStr">
        <is>
          <t>03/03/2026</t>
        </is>
      </c>
      <c r="C15" s="16" t="inlineStr">
        <is>
          <t xml:space="preserve">TAR EXTRATO CONCILIACAO BANCARIA                            </t>
        </is>
      </c>
      <c r="D15" s="17" t="n">
        <v>-1.8</v>
      </c>
    </row>
    <row r="16">
      <c r="B16" s="15" t="inlineStr">
        <is>
          <t>03/03/2026</t>
        </is>
      </c>
      <c r="C16" s="16" t="inlineStr">
        <is>
          <t xml:space="preserve">TAR LIQ COB CORBAN DIGITAL CMP                              </t>
        </is>
      </c>
      <c r="D16" s="17" t="n">
        <v>-1.79</v>
      </c>
    </row>
    <row r="17">
      <c r="B17" s="15" t="inlineStr">
        <is>
          <t>05/03/2026</t>
        </is>
      </c>
      <c r="C17" s="16" t="inlineStr">
        <is>
          <t xml:space="preserve">TAR LIQ COB COM REG COMPE                                   </t>
        </is>
      </c>
      <c r="D17" s="17" t="n">
        <v>-2.69</v>
      </c>
    </row>
    <row r="18">
      <c r="B18" s="15" t="inlineStr">
        <is>
          <t>06/03/2026</t>
        </is>
      </c>
      <c r="C18" s="16" t="inlineStr">
        <is>
          <t xml:space="preserve">TAR LIQ COB COM REG CAIXA DINH                              </t>
        </is>
      </c>
      <c r="D18" s="17" t="n">
        <v>-2.44</v>
      </c>
    </row>
    <row r="19">
      <c r="B19" s="15" t="inlineStr">
        <is>
          <t>06/03/2026</t>
        </is>
      </c>
      <c r="C19" s="16" t="inlineStr">
        <is>
          <t xml:space="preserve">TAR LIQ COB COM REG CAIXA CH                                </t>
        </is>
      </c>
      <c r="D19" s="17" t="n">
        <v>-4.88</v>
      </c>
    </row>
    <row r="20">
      <c r="B20" s="15" t="inlineStr">
        <is>
          <t>06/03/2026</t>
        </is>
      </c>
      <c r="C20" s="16" t="inlineStr">
        <is>
          <t xml:space="preserve">TAR LIQ COB COM REG CENTRAL ATEND                           </t>
        </is>
      </c>
      <c r="D20" s="17" t="n">
        <v>-2.44</v>
      </c>
    </row>
    <row r="21">
      <c r="B21" s="15" t="inlineStr">
        <is>
          <t>06/03/2026</t>
        </is>
      </c>
      <c r="C21" s="16" t="inlineStr">
        <is>
          <t xml:space="preserve">TAR LIQ COB COM REG VIA PAGFOR                              </t>
        </is>
      </c>
      <c r="D21" s="17" t="n">
        <v>-4.88</v>
      </c>
    </row>
    <row r="22">
      <c r="B22" s="15" t="inlineStr">
        <is>
          <t>06/03/2026</t>
        </is>
      </c>
      <c r="C22" s="16" t="inlineStr">
        <is>
          <t xml:space="preserve">TAR LIQ COB COM REG COMPE                                   </t>
        </is>
      </c>
      <c r="D22" s="17" t="n">
        <v>-86.08</v>
      </c>
    </row>
    <row r="23">
      <c r="B23" s="15" t="inlineStr">
        <is>
          <t>09/03/2026</t>
        </is>
      </c>
      <c r="C23" s="16" t="inlineStr">
        <is>
          <t xml:space="preserve">TAR LIQ COB COM REG CAIXA CH                                </t>
        </is>
      </c>
      <c r="D23" s="17" t="n">
        <v>-2.44</v>
      </c>
    </row>
    <row r="24">
      <c r="B24" s="15" t="inlineStr">
        <is>
          <t>10/03/2026</t>
        </is>
      </c>
      <c r="C24" s="16" t="inlineStr">
        <is>
          <t xml:space="preserve">TAR BAIXA COB SIMPLES-ELETRONICA                            </t>
        </is>
      </c>
      <c r="D24" s="17" t="n">
        <v>-1.44</v>
      </c>
    </row>
    <row r="25">
      <c r="B25" s="15" t="inlineStr">
        <is>
          <t>11/03/2026</t>
        </is>
      </c>
      <c r="C25" s="16" t="inlineStr">
        <is>
          <t xml:space="preserve">TAR EMISSAO TED CIP PGTO FORNEC                             </t>
        </is>
      </c>
      <c r="D25" s="17" t="n">
        <v>-2.99</v>
      </c>
    </row>
    <row r="26">
      <c r="B26" s="15" t="inlineStr">
        <is>
          <t>12/03/2026</t>
        </is>
      </c>
      <c r="C26" s="16" t="inlineStr">
        <is>
          <t xml:space="preserve">TAR EMISSAO TED CIP PGTO FORNEC                             </t>
        </is>
      </c>
      <c r="D26" s="17" t="n">
        <v>-2.99</v>
      </c>
    </row>
    <row r="27">
      <c r="B27" s="15" t="inlineStr">
        <is>
          <t>13/03/2026</t>
        </is>
      </c>
      <c r="C27" s="16" t="inlineStr">
        <is>
          <t xml:space="preserve">TAR REG TIT COB RAPIDA SIMP-ELETR                           </t>
        </is>
      </c>
      <c r="D27" s="17" t="n">
        <v>-14.72</v>
      </c>
    </row>
    <row r="28">
      <c r="B28" s="15" t="inlineStr">
        <is>
          <t>16/03/2026</t>
        </is>
      </c>
      <c r="C28" s="16" t="inlineStr">
        <is>
          <t xml:space="preserve">TAR EMISSAO TED CIP PGTO FORNEC                             </t>
        </is>
      </c>
      <c r="D28" s="17" t="n">
        <v>-2.99</v>
      </c>
    </row>
    <row r="29">
      <c r="B29" s="15" t="inlineStr">
        <is>
          <t>16/03/2026</t>
        </is>
      </c>
      <c r="C29" s="16" t="inlineStr">
        <is>
          <t xml:space="preserve">TAR LIQ COB COM REG COMPE                                   </t>
        </is>
      </c>
      <c r="D29" s="17" t="n">
        <v>-2.69</v>
      </c>
    </row>
    <row r="30">
      <c r="B30" s="15" t="inlineStr">
        <is>
          <t>16/03/2026</t>
        </is>
      </c>
      <c r="C30" s="16" t="inlineStr">
        <is>
          <t xml:space="preserve">TAR REG TIT COB RAPIDA SIMP-ELETR                           </t>
        </is>
      </c>
      <c r="D30" s="17" t="n">
        <v>-0.32</v>
      </c>
    </row>
    <row r="31">
      <c r="B31" s="15" t="inlineStr">
        <is>
          <t>17/03/2026</t>
        </is>
      </c>
      <c r="C31" s="16" t="inlineStr">
        <is>
          <t xml:space="preserve">TAR EMISSAO TED CIP PGTO FORNEC                             </t>
        </is>
      </c>
      <c r="D31" s="17" t="n">
        <v>-5.99</v>
      </c>
    </row>
    <row r="32">
      <c r="B32" s="15" t="inlineStr">
        <is>
          <t>19/03/2026</t>
        </is>
      </c>
      <c r="C32" s="16" t="inlineStr">
        <is>
          <t xml:space="preserve">TAR EMISSAO TED CIP PGTO FORNEC                             </t>
        </is>
      </c>
      <c r="D32" s="17" t="n">
        <v>-5.99</v>
      </c>
    </row>
    <row r="33">
      <c r="B33" s="15" t="inlineStr">
        <is>
          <t>19/03/2026</t>
        </is>
      </c>
      <c r="C33" s="16" t="inlineStr">
        <is>
          <t xml:space="preserve">TAR LIQ COB COM REG COMPE                                   </t>
        </is>
      </c>
      <c r="D33" s="17" t="n">
        <v>-2.69</v>
      </c>
    </row>
    <row r="34">
      <c r="B34" s="15" t="inlineStr">
        <is>
          <t>20/03/2026</t>
        </is>
      </c>
      <c r="C34" s="16" t="inlineStr">
        <is>
          <t xml:space="preserve">TAR EMISSAO TED CIP PGTO FORNEC                             </t>
        </is>
      </c>
      <c r="D34" s="17" t="n">
        <v>-5.99</v>
      </c>
    </row>
    <row r="35">
      <c r="B35" s="15" t="inlineStr">
        <is>
          <t>20/03/2026</t>
        </is>
      </c>
      <c r="C35" s="16" t="inlineStr">
        <is>
          <t xml:space="preserve">TAR LIQ COB COM REG COMPE                                   </t>
        </is>
      </c>
      <c r="D35" s="17" t="n">
        <v>-2.69</v>
      </c>
    </row>
    <row r="36">
      <c r="B36" s="15" t="inlineStr">
        <is>
          <t>25/03/2026</t>
        </is>
      </c>
      <c r="C36" s="16" t="inlineStr">
        <is>
          <t xml:space="preserve">TAR LIQ COB COM REG CAIXA CH                                </t>
        </is>
      </c>
      <c r="D36" s="17" t="n">
        <v>-2.44</v>
      </c>
    </row>
    <row r="37">
      <c r="B37" s="15" t="inlineStr">
        <is>
          <t>25/03/2026</t>
        </is>
      </c>
      <c r="C37" s="16" t="inlineStr">
        <is>
          <t xml:space="preserve">TAR LIQ COB COM REG COMPE                                   </t>
        </is>
      </c>
      <c r="D37" s="17" t="n">
        <v>-2.69</v>
      </c>
    </row>
    <row r="38">
      <c r="B38" s="15" t="inlineStr">
        <is>
          <t>26/03/2026</t>
        </is>
      </c>
      <c r="C38" s="16" t="inlineStr">
        <is>
          <t xml:space="preserve">TAR EMISSAO TED CIP PGTO FORNEC                             </t>
        </is>
      </c>
      <c r="D38" s="17" t="n">
        <v>-2.99</v>
      </c>
    </row>
    <row r="39">
      <c r="B39" s="15" t="inlineStr">
        <is>
          <t>26/03/2026</t>
        </is>
      </c>
      <c r="C39" s="16" t="inlineStr">
        <is>
          <t xml:space="preserve">TAR LIQ COB COM REG COMPE                                   </t>
        </is>
      </c>
      <c r="D39" s="17" t="n">
        <v>-2.69</v>
      </c>
    </row>
    <row r="40">
      <c r="B40" s="15" t="inlineStr">
        <is>
          <t>27/03/2026</t>
        </is>
      </c>
      <c r="C40" s="16" t="inlineStr">
        <is>
          <t xml:space="preserve">TAR EMISSAO TED CIP PGTO FORNEC                             </t>
        </is>
      </c>
      <c r="D40" s="17" t="n">
        <v>-2.99</v>
      </c>
    </row>
    <row r="41">
      <c r="B41" s="15" t="inlineStr">
        <is>
          <t>27/03/2026</t>
        </is>
      </c>
      <c r="C41" s="16" t="inlineStr">
        <is>
          <t xml:space="preserve">TAR LIQ COB COM REG CAIXA CH                                </t>
        </is>
      </c>
      <c r="D41" s="17" t="n">
        <v>-2.44</v>
      </c>
    </row>
    <row r="42">
      <c r="B42" s="15" t="inlineStr">
        <is>
          <t>30/03/2026</t>
        </is>
      </c>
      <c r="C42" s="16" t="inlineStr">
        <is>
          <t xml:space="preserve">TAR EMISSAO TED CIP PGTO FORNEC                             </t>
        </is>
      </c>
      <c r="D42" s="17" t="n">
        <v>-5.99</v>
      </c>
    </row>
    <row r="43">
      <c r="B43" s="15" t="inlineStr">
        <is>
          <t>30/03/2026</t>
        </is>
      </c>
      <c r="C43" s="16" t="inlineStr">
        <is>
          <t xml:space="preserve">TAR LIQ COB COM REG COMPE                                   </t>
        </is>
      </c>
      <c r="D43" s="17" t="n">
        <v>-2.69</v>
      </c>
    </row>
    <row r="44">
      <c r="B44" s="15" t="inlineStr">
        <is>
          <t>31/03/2026</t>
        </is>
      </c>
      <c r="C44" s="16" t="inlineStr">
        <is>
          <t xml:space="preserve">TAR EMISSAO TED CIP PGTO FORNEC                             </t>
        </is>
      </c>
      <c r="D44" s="17" t="n">
        <v>-2.99</v>
      </c>
    </row>
    <row r="45">
      <c r="B45" s="15" t="inlineStr">
        <is>
          <t>31/03/2026</t>
        </is>
      </c>
      <c r="C45" s="16" t="inlineStr">
        <is>
          <t xml:space="preserve">TAR LIQ COB COM REG CAIXA DINH                              </t>
        </is>
      </c>
      <c r="D45" s="17" t="n">
        <v>-2.44</v>
      </c>
    </row>
    <row r="46">
      <c r="B46" s="18" t="inlineStr">
        <is>
          <t>TOTAL</t>
        </is>
      </c>
      <c r="C46" s="4" t="n"/>
      <c r="D46" s="19">
        <f>SUM(D13:D45)</f>
        <v/>
      </c>
    </row>
  </sheetData>
  <mergeCells count="2">
    <mergeCell ref="B46:C46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58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75" customWidth="1" min="3" max="3"/>
    <col width="18" customWidth="1" min="4" max="4"/>
    <col width="18" customWidth="1" min="5" max="5"/>
  </cols>
  <sheetData>
    <row r="2">
      <c r="B2" s="11" t="inlineStr">
        <is>
          <t>Santander</t>
        </is>
      </c>
    </row>
    <row r="5">
      <c r="B5" s="1" t="inlineStr">
        <is>
          <t>Nome:</t>
        </is>
      </c>
      <c r="C5" s="2" t="inlineStr">
        <is>
          <t>teste</t>
        </is>
      </c>
      <c r="D5" s="1" t="inlineStr">
        <is>
          <t>Agência/Conta:</t>
        </is>
      </c>
      <c r="E5" s="2" t="inlineStr">
        <is>
          <t>2050/130063262</t>
        </is>
      </c>
    </row>
    <row r="6">
      <c r="B6" s="1" t="inlineStr">
        <is>
          <t>Período:</t>
        </is>
      </c>
      <c r="C6" s="2" t="n"/>
      <c r="D6" s="4" t="n"/>
      <c r="E6" s="4" t="n"/>
    </row>
    <row r="9">
      <c r="B9" s="13" t="inlineStr">
        <is>
          <t>APLICAÇÕES</t>
        </is>
      </c>
    </row>
    <row r="12">
      <c r="B12" s="20" t="inlineStr">
        <is>
          <t>GRUPO: contamax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02/03/2026</t>
        </is>
      </c>
      <c r="C14" s="16" t="inlineStr">
        <is>
          <t xml:space="preserve">RESGATE CONTAMAX AUTOMATICO                                 </t>
        </is>
      </c>
      <c r="D14" s="17" t="n"/>
      <c r="E14" s="21" t="n">
        <v>68642.77</v>
      </c>
    </row>
    <row r="15">
      <c r="B15" s="15" t="inlineStr">
        <is>
          <t>03/03/2026</t>
        </is>
      </c>
      <c r="C15" s="16" t="inlineStr">
        <is>
          <t xml:space="preserve">APLICACAO CONTAMAX                                          </t>
        </is>
      </c>
      <c r="D15" s="17" t="n">
        <v>-79329.03999999999</v>
      </c>
      <c r="E15" s="21" t="n"/>
    </row>
    <row r="16">
      <c r="B16" s="15" t="inlineStr">
        <is>
          <t>04/03/2026</t>
        </is>
      </c>
      <c r="C16" s="16" t="inlineStr">
        <is>
          <t xml:space="preserve">APLICACAO CONTAMAX                                          </t>
        </is>
      </c>
      <c r="D16" s="17" t="n">
        <v>-11008.97</v>
      </c>
      <c r="E16" s="21" t="n"/>
    </row>
    <row r="17">
      <c r="B17" s="15" t="inlineStr">
        <is>
          <t>05/03/2026</t>
        </is>
      </c>
      <c r="C17" s="16" t="inlineStr">
        <is>
          <t xml:space="preserve">RESGATE CONTAMAX AUTOMATICO                                 </t>
        </is>
      </c>
      <c r="D17" s="17" t="n"/>
      <c r="E17" s="21" t="n">
        <v>36667.27</v>
      </c>
    </row>
    <row r="18">
      <c r="B18" s="15" t="inlineStr">
        <is>
          <t>06/03/2026</t>
        </is>
      </c>
      <c r="C18" s="16" t="inlineStr">
        <is>
          <t xml:space="preserve">APLICACAO CONTAMAX                                          </t>
        </is>
      </c>
      <c r="D18" s="17" t="n">
        <v>-424048.06</v>
      </c>
      <c r="E18" s="21" t="n"/>
    </row>
    <row r="19">
      <c r="B19" s="15" t="inlineStr">
        <is>
          <t>09/03/2026</t>
        </is>
      </c>
      <c r="C19" s="16" t="inlineStr">
        <is>
          <t xml:space="preserve">RESGATE CONTAMAX AUTOMATICO                                 </t>
        </is>
      </c>
      <c r="D19" s="17" t="n"/>
      <c r="E19" s="21" t="n">
        <v>1806.82</v>
      </c>
    </row>
    <row r="20">
      <c r="B20" s="15" t="inlineStr">
        <is>
          <t>10/03/2026</t>
        </is>
      </c>
      <c r="C20" s="16" t="inlineStr">
        <is>
          <t xml:space="preserve">RESGATE CONTAMAX AUTOMATICO                                 </t>
        </is>
      </c>
      <c r="D20" s="17" t="n"/>
      <c r="E20" s="21" t="n">
        <v>256104.93</v>
      </c>
    </row>
    <row r="21">
      <c r="B21" s="15" t="inlineStr">
        <is>
          <t>11/03/2026</t>
        </is>
      </c>
      <c r="C21" s="16" t="inlineStr">
        <is>
          <t xml:space="preserve">RESGATE CONTAMAX AUTOMATICO                                 </t>
        </is>
      </c>
      <c r="D21" s="17" t="n"/>
      <c r="E21" s="21" t="n">
        <v>15779.14</v>
      </c>
    </row>
    <row r="22">
      <c r="B22" s="15" t="inlineStr">
        <is>
          <t>12/03/2026</t>
        </is>
      </c>
      <c r="C22" s="16" t="inlineStr">
        <is>
          <t xml:space="preserve">RESGATE CONTAMAX AUTOMATICO                                 </t>
        </is>
      </c>
      <c r="D22" s="17" t="n"/>
      <c r="E22" s="21" t="n">
        <v>6597.6</v>
      </c>
    </row>
    <row r="23">
      <c r="B23" s="15" t="inlineStr">
        <is>
          <t>13/03/2026</t>
        </is>
      </c>
      <c r="C23" s="16" t="inlineStr">
        <is>
          <t xml:space="preserve">RESGATE CONTAMAX AUTOMATICO                                 </t>
        </is>
      </c>
      <c r="D23" s="17" t="n"/>
      <c r="E23" s="21" t="n">
        <v>2254.72</v>
      </c>
    </row>
    <row r="24">
      <c r="B24" s="15" t="inlineStr">
        <is>
          <t>16/03/2026</t>
        </is>
      </c>
      <c r="C24" s="16" t="inlineStr">
        <is>
          <t xml:space="preserve">APLICACAO CONTAMAX                                          </t>
        </is>
      </c>
      <c r="D24" s="17" t="n">
        <v>-4584.99</v>
      </c>
      <c r="E24" s="21" t="n"/>
    </row>
    <row r="25">
      <c r="B25" s="15" t="inlineStr">
        <is>
          <t>17/03/2026</t>
        </is>
      </c>
      <c r="C25" s="16" t="inlineStr">
        <is>
          <t xml:space="preserve">RESGATE CONTAMAX AUTOMATICO                                 </t>
        </is>
      </c>
      <c r="D25" s="17" t="n"/>
      <c r="E25" s="21" t="n">
        <v>11573.69</v>
      </c>
    </row>
    <row r="26">
      <c r="B26" s="15" t="inlineStr">
        <is>
          <t>18/03/2026</t>
        </is>
      </c>
      <c r="C26" s="16" t="inlineStr">
        <is>
          <t xml:space="preserve">RESGATE CONTAMAX AUTOMATICO                                 </t>
        </is>
      </c>
      <c r="D26" s="17" t="n"/>
      <c r="E26" s="21" t="n">
        <v>25812.06</v>
      </c>
    </row>
    <row r="27">
      <c r="B27" s="15" t="inlineStr">
        <is>
          <t>19/03/2026</t>
        </is>
      </c>
      <c r="C27" s="16" t="inlineStr">
        <is>
          <t xml:space="preserve">RESGATE CONTAMAX AUTOMATICO                                 </t>
        </is>
      </c>
      <c r="D27" s="17" t="n"/>
      <c r="E27" s="21" t="n">
        <v>63520.71</v>
      </c>
    </row>
    <row r="28">
      <c r="B28" s="15" t="inlineStr">
        <is>
          <t>20/03/2026</t>
        </is>
      </c>
      <c r="C28" s="16" t="inlineStr">
        <is>
          <t xml:space="preserve">APLICACAO CONTAMAX                                          </t>
        </is>
      </c>
      <c r="D28" s="17" t="n">
        <v>-1589.82</v>
      </c>
      <c r="E28" s="21" t="n"/>
    </row>
    <row r="29">
      <c r="B29" s="15" t="inlineStr">
        <is>
          <t>23/03/2026</t>
        </is>
      </c>
      <c r="C29" s="16" t="inlineStr">
        <is>
          <t xml:space="preserve">RESGATE CONTAMAX AUTOMATICO                                 </t>
        </is>
      </c>
      <c r="D29" s="17" t="n"/>
      <c r="E29" s="21" t="n">
        <v>32374.69</v>
      </c>
    </row>
    <row r="30">
      <c r="B30" s="15" t="inlineStr">
        <is>
          <t>25/03/2026</t>
        </is>
      </c>
      <c r="C30" s="16" t="inlineStr">
        <is>
          <t xml:space="preserve">RESGATE CONTAMAX AUTOMATICO                                 </t>
        </is>
      </c>
      <c r="D30" s="17" t="n"/>
      <c r="E30" s="21" t="n">
        <v>3637.6</v>
      </c>
    </row>
    <row r="31">
      <c r="B31" s="15" t="inlineStr">
        <is>
          <t>26/03/2026</t>
        </is>
      </c>
      <c r="C31" s="16" t="inlineStr">
        <is>
          <t xml:space="preserve">APLICACAO CONTAMAX                                          </t>
        </is>
      </c>
      <c r="D31" s="17" t="n">
        <v>-20515.44</v>
      </c>
      <c r="E31" s="21" t="n"/>
    </row>
    <row r="32">
      <c r="B32" s="15" t="inlineStr">
        <is>
          <t>27/03/2026</t>
        </is>
      </c>
      <c r="C32" s="16" t="inlineStr">
        <is>
          <t xml:space="preserve">APLICACAO CONTAMAX                                          </t>
        </is>
      </c>
      <c r="D32" s="17" t="n">
        <v>-11282.54</v>
      </c>
      <c r="E32" s="21" t="n"/>
    </row>
    <row r="33">
      <c r="B33" s="15" t="inlineStr">
        <is>
          <t>30/03/2026</t>
        </is>
      </c>
      <c r="C33" s="16" t="inlineStr">
        <is>
          <t xml:space="preserve">RESGATE CONTAMAX AUTOMATICO                                 </t>
        </is>
      </c>
      <c r="D33" s="17" t="n"/>
      <c r="E33" s="21" t="n">
        <v>20047.15</v>
      </c>
    </row>
    <row r="34">
      <c r="B34" s="15" t="inlineStr">
        <is>
          <t>31/03/2026</t>
        </is>
      </c>
      <c r="C34" s="16" t="inlineStr">
        <is>
          <t xml:space="preserve">APLICACAO CONTAMAX                                          </t>
        </is>
      </c>
      <c r="D34" s="17" t="n">
        <v>-13788.04</v>
      </c>
      <c r="E34" s="21" t="n"/>
    </row>
    <row r="35">
      <c r="B35" s="18" t="inlineStr">
        <is>
          <t>TOTAL</t>
        </is>
      </c>
      <c r="C35" s="4" t="n"/>
      <c r="D35" s="19">
        <f>SUM(D14:D34)</f>
        <v/>
      </c>
      <c r="E35" s="19">
        <f>SUM(E14:E34)</f>
        <v/>
      </c>
    </row>
    <row r="36">
      <c r="D36" s="2" t="inlineStr">
        <is>
          <t>Saldo Inicial:</t>
        </is>
      </c>
      <c r="E36" s="10">
        <f>Resumo!C21</f>
        <v/>
      </c>
    </row>
    <row r="37">
      <c r="D37" s="2" t="inlineStr">
        <is>
          <t>Saldo Final:</t>
        </is>
      </c>
      <c r="E37" s="10">
        <f>Resumo!C22</f>
        <v/>
      </c>
    </row>
    <row r="38">
      <c r="D38" s="2" t="inlineStr">
        <is>
          <t>Rendimento:</t>
        </is>
      </c>
      <c r="E38" s="10">
        <f>Resumo!C22-(Resumo!C21+(-D35)-E35)</f>
        <v/>
      </c>
    </row>
    <row r="40">
      <c r="B40" s="22">
        <f>"GRUPO: "&amp;Resumo!B24</f>
        <v/>
      </c>
      <c r="C40" s="23" t="n"/>
      <c r="D40" s="23" t="n"/>
      <c r="E40" s="24" t="n"/>
    </row>
    <row r="41">
      <c r="B41" s="14" t="inlineStr">
        <is>
          <t>Data</t>
        </is>
      </c>
      <c r="C41" s="14" t="inlineStr">
        <is>
          <t>Lançamento</t>
        </is>
      </c>
      <c r="D41" s="14" t="inlineStr">
        <is>
          <t>Aplicação (R$)</t>
        </is>
      </c>
      <c r="E41" s="14" t="inlineStr">
        <is>
          <t>Resgate (R$)</t>
        </is>
      </c>
    </row>
    <row r="42">
      <c r="B42" s="25" t="inlineStr">
        <is>
          <t>Sem registros</t>
        </is>
      </c>
    </row>
    <row r="44">
      <c r="B44" s="18" t="inlineStr">
        <is>
          <t>TOTAL</t>
        </is>
      </c>
      <c r="C44" s="4" t="n"/>
      <c r="D44" s="19">
        <f>SUM(D42:D43)</f>
        <v/>
      </c>
      <c r="E44" s="19">
        <f>SUM(E42:E43)</f>
        <v/>
      </c>
    </row>
    <row r="45">
      <c r="D45" s="2" t="inlineStr">
        <is>
          <t>Saldo Inicial:</t>
        </is>
      </c>
      <c r="E45" s="10">
        <f>Resumo!C25</f>
        <v/>
      </c>
    </row>
    <row r="46">
      <c r="D46" s="2" t="inlineStr">
        <is>
          <t>Saldo Final:</t>
        </is>
      </c>
      <c r="E46" s="10">
        <f>Resumo!C26</f>
        <v/>
      </c>
    </row>
    <row r="47">
      <c r="D47" s="2" t="inlineStr">
        <is>
          <t>Rendimento:</t>
        </is>
      </c>
      <c r="E47" s="10">
        <f>Resumo!C26-(Resumo!C25+(-D44)-E44)</f>
        <v/>
      </c>
    </row>
    <row r="49">
      <c r="B49" s="22">
        <f>"GRUPO: "&amp;Resumo!B28</f>
        <v/>
      </c>
      <c r="C49" s="23" t="n"/>
      <c r="D49" s="23" t="n"/>
      <c r="E49" s="24" t="n"/>
    </row>
    <row r="50">
      <c r="B50" s="14" t="inlineStr">
        <is>
          <t>Data</t>
        </is>
      </c>
      <c r="C50" s="14" t="inlineStr">
        <is>
          <t>Lançamento</t>
        </is>
      </c>
      <c r="D50" s="14" t="inlineStr">
        <is>
          <t>Aplicação (R$)</t>
        </is>
      </c>
      <c r="E50" s="14" t="inlineStr">
        <is>
          <t>Resgate (R$)</t>
        </is>
      </c>
    </row>
    <row r="51">
      <c r="B51" s="25" t="inlineStr">
        <is>
          <t>Sem registros</t>
        </is>
      </c>
    </row>
    <row r="53">
      <c r="B53" s="18" t="inlineStr">
        <is>
          <t>TOTAL</t>
        </is>
      </c>
      <c r="C53" s="4" t="n"/>
      <c r="D53" s="19">
        <f>SUM(D51:D52)</f>
        <v/>
      </c>
      <c r="E53" s="19">
        <f>SUM(E51:E52)</f>
        <v/>
      </c>
    </row>
    <row r="54">
      <c r="D54" s="2" t="inlineStr">
        <is>
          <t>Saldo Inicial:</t>
        </is>
      </c>
      <c r="E54" s="10">
        <f>Resumo!C29</f>
        <v/>
      </c>
    </row>
    <row r="55">
      <c r="D55" s="2" t="inlineStr">
        <is>
          <t>Saldo Final:</t>
        </is>
      </c>
      <c r="E55" s="10">
        <f>Resumo!C30</f>
        <v/>
      </c>
    </row>
    <row r="56">
      <c r="D56" s="2" t="inlineStr">
        <is>
          <t>Rendimento:</t>
        </is>
      </c>
      <c r="E56" s="10">
        <f>Resumo!C30-(Resumo!C29+(-D53)-E53)</f>
        <v/>
      </c>
    </row>
    <row r="58">
      <c r="E58" s="5" t="n"/>
    </row>
  </sheetData>
  <mergeCells count="7">
    <mergeCell ref="B40:E40"/>
    <mergeCell ref="B44:C44"/>
    <mergeCell ref="B2:C2"/>
    <mergeCell ref="B49:E49"/>
    <mergeCell ref="B12:E12"/>
    <mergeCell ref="B35:C35"/>
    <mergeCell ref="B53:C53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9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Santander</t>
        </is>
      </c>
    </row>
    <row r="5">
      <c r="B5" s="1" t="inlineStr">
        <is>
          <t>Nome:</t>
        </is>
      </c>
      <c r="C5" s="2" t="inlineStr">
        <is>
          <t>teste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n"/>
      <c r="D6" s="2" t="inlineStr">
        <is>
          <t>2050/130063262</t>
        </is>
      </c>
    </row>
    <row r="9">
      <c r="B9" s="13" t="inlineStr">
        <is>
          <t>GERAL</t>
        </is>
      </c>
    </row>
    <row r="10">
      <c r="B10" s="13" t="inlineStr">
        <is>
          <t>CRÉDITOS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</row>
    <row r="13">
      <c r="B13" s="15" t="inlineStr">
        <is>
          <t>02/03/2026</t>
        </is>
      </c>
      <c r="C13" s="16" t="inlineStr">
        <is>
          <t xml:space="preserve">CR COB BLOQ COMP CONF RECEBIMENTO  2050/000152060           </t>
        </is>
      </c>
      <c r="D13" s="21" t="n">
        <v>13072.12</v>
      </c>
    </row>
    <row r="14">
      <c r="B14" s="15" t="inlineStr">
        <is>
          <t>03/03/2026</t>
        </is>
      </c>
      <c r="C14" s="16" t="inlineStr">
        <is>
          <t xml:space="preserve">CR COB BLOQ COMP CONF RECEBIMENTO  2050/000152060           </t>
        </is>
      </c>
      <c r="D14" s="21" t="n">
        <v>79332.63</v>
      </c>
    </row>
    <row r="15">
      <c r="B15" s="15" t="inlineStr">
        <is>
          <t>04/03/2026</t>
        </is>
      </c>
      <c r="C15" s="16" t="inlineStr">
        <is>
          <t xml:space="preserve">CR COB BLOQ COMP CONF RECEBIMENTO  2050/000152060           </t>
        </is>
      </c>
      <c r="D15" s="21" t="n">
        <v>11498.45</v>
      </c>
    </row>
    <row r="16">
      <c r="B16" s="15" t="inlineStr">
        <is>
          <t>05/03/2026</t>
        </is>
      </c>
      <c r="C16" s="16" t="inlineStr">
        <is>
          <t xml:space="preserve">CR COB DINHEIRO CONF RECEBIMENTO   2050/000152060           </t>
        </is>
      </c>
      <c r="D16" s="21" t="n">
        <v>11148.29</v>
      </c>
    </row>
    <row r="17">
      <c r="B17" s="15" t="inlineStr">
        <is>
          <t>05/03/2026</t>
        </is>
      </c>
      <c r="C17" s="16" t="inlineStr">
        <is>
          <t xml:space="preserve">CR COB BLOQ COMP CONF RECEBIMENTO  2050/000152060           </t>
        </is>
      </c>
      <c r="D17" s="21" t="n">
        <v>47993.08</v>
      </c>
    </row>
    <row r="18">
      <c r="B18" s="15" t="inlineStr">
        <is>
          <t>06/03/2026</t>
        </is>
      </c>
      <c r="C18" s="16" t="inlineStr">
        <is>
          <t xml:space="preserve">CR COB DINHEIRO CONF RECEBIMENTO   2050/000152060           </t>
        </is>
      </c>
      <c r="D18" s="21" t="n">
        <v>79494.63</v>
      </c>
    </row>
    <row r="19">
      <c r="B19" s="15" t="inlineStr">
        <is>
          <t>06/03/2026</t>
        </is>
      </c>
      <c r="C19" s="16" t="inlineStr">
        <is>
          <t xml:space="preserve">CR COB BLOQ COMP CONF RECEBIMENTO  2050/000152060           </t>
        </is>
      </c>
      <c r="D19" s="21" t="n">
        <v>405693.53</v>
      </c>
    </row>
    <row r="20">
      <c r="B20" s="15" t="inlineStr">
        <is>
          <t>09/03/2026</t>
        </is>
      </c>
      <c r="C20" s="16" t="inlineStr">
        <is>
          <t xml:space="preserve">CR COB DINHEIRO CONF RECEBIMENTO   2050/000152060           </t>
        </is>
      </c>
      <c r="D20" s="21" t="n">
        <v>15155.43</v>
      </c>
    </row>
    <row r="21">
      <c r="B21" s="15" t="inlineStr">
        <is>
          <t>16/03/2026</t>
        </is>
      </c>
      <c r="C21" s="16" t="inlineStr">
        <is>
          <t xml:space="preserve">CR COB BLOQ COMP CONF RECEBIMENTO  2050/000152060           </t>
        </is>
      </c>
      <c r="D21" s="21" t="n">
        <v>11212.16</v>
      </c>
    </row>
    <row r="22">
      <c r="B22" s="15" t="inlineStr">
        <is>
          <t>19/03/2026</t>
        </is>
      </c>
      <c r="C22" s="16" t="inlineStr">
        <is>
          <t xml:space="preserve">CR COB BLOQ COMP CONF RECEBIMENTO  2050/000152060           </t>
        </is>
      </c>
      <c r="D22" s="21" t="n">
        <v>11553.61</v>
      </c>
    </row>
    <row r="23">
      <c r="B23" s="15" t="inlineStr">
        <is>
          <t>20/03/2026</t>
        </is>
      </c>
      <c r="C23" s="16" t="inlineStr">
        <is>
          <t xml:space="preserve">CR COB BLOQ COMP CONF RECEBIMENTO  2050/000152060           </t>
        </is>
      </c>
      <c r="D23" s="21" t="n">
        <v>15170.34</v>
      </c>
    </row>
    <row r="24">
      <c r="B24" s="15" t="inlineStr">
        <is>
          <t>25/03/2026</t>
        </is>
      </c>
      <c r="C24" s="16" t="inlineStr">
        <is>
          <t xml:space="preserve">CR COB BLOQ COMP CONF RECEBIMENTO  2050/000152060           </t>
        </is>
      </c>
      <c r="D24" s="21" t="n">
        <v>11304.32</v>
      </c>
    </row>
    <row r="25">
      <c r="B25" s="15" t="inlineStr">
        <is>
          <t>25/03/2026</t>
        </is>
      </c>
      <c r="C25" s="16" t="inlineStr">
        <is>
          <t xml:space="preserve">CR COB DINHEIRO CONF RECEBIMENTO   2050/000152060           </t>
        </is>
      </c>
      <c r="D25" s="21" t="n">
        <v>14298.45</v>
      </c>
    </row>
    <row r="26">
      <c r="B26" s="15" t="inlineStr">
        <is>
          <t>26/03/2026</t>
        </is>
      </c>
      <c r="C26" s="16" t="inlineStr">
        <is>
          <t xml:space="preserve">CR COB BLOQ COMP CONF RECEBIMENTO  2050/000152060           </t>
        </is>
      </c>
      <c r="D26" s="21" t="n">
        <v>21014.08</v>
      </c>
    </row>
    <row r="27">
      <c r="B27" s="15" t="inlineStr">
        <is>
          <t>27/03/2026</t>
        </is>
      </c>
      <c r="C27" s="16" t="inlineStr">
        <is>
          <t xml:space="preserve">CR COB DINHEIRO CONF RECEBIMENTO   2050/000152060           </t>
        </is>
      </c>
      <c r="D27" s="21" t="n">
        <v>13868.79</v>
      </c>
    </row>
    <row r="28">
      <c r="B28" s="15" t="inlineStr">
        <is>
          <t>30/03/2026</t>
        </is>
      </c>
      <c r="C28" s="16" t="inlineStr">
        <is>
          <t xml:space="preserve">CR COB BLOQ COMP CONF RECEBIMENTO  2050/000152060           </t>
        </is>
      </c>
      <c r="D28" s="21" t="n">
        <v>15351.62</v>
      </c>
    </row>
    <row r="29">
      <c r="B29" s="15" t="inlineStr">
        <is>
          <t>31/03/2026</t>
        </is>
      </c>
      <c r="C29" s="16" t="inlineStr">
        <is>
          <t xml:space="preserve">CR COB DINHEIRO CONF RECEBIMENTO   2050/000152060           </t>
        </is>
      </c>
      <c r="D29" s="21" t="n">
        <v>14287</v>
      </c>
    </row>
    <row r="30">
      <c r="B30" s="18" t="inlineStr">
        <is>
          <t>TOTAL</t>
        </is>
      </c>
      <c r="C30" s="4" t="n"/>
      <c r="D30" s="19">
        <f>SUM(D13:D29)</f>
        <v/>
      </c>
    </row>
    <row r="31">
      <c r="B31" s="13" t="inlineStr">
        <is>
          <t>DÉBITOS</t>
        </is>
      </c>
    </row>
    <row r="33">
      <c r="B33" s="14" t="inlineStr">
        <is>
          <t>Data</t>
        </is>
      </c>
      <c r="C33" s="14" t="inlineStr">
        <is>
          <t>Lançamento</t>
        </is>
      </c>
      <c r="D33" s="14" t="inlineStr">
        <is>
          <t>Debito (R$)</t>
        </is>
      </c>
    </row>
    <row r="34">
      <c r="B34" s="15" t="inlineStr">
        <is>
          <t>02/03/2026</t>
        </is>
      </c>
      <c r="C34" s="16" t="inlineStr">
        <is>
          <t xml:space="preserve">PAGAMENTO A FORNECEDORES           D - 000001               </t>
        </is>
      </c>
      <c r="D34" s="17" t="n">
        <v>-1944.38</v>
      </c>
    </row>
    <row r="35">
      <c r="B35" s="15" t="inlineStr">
        <is>
          <t>02/03/2026</t>
        </is>
      </c>
      <c r="C35" s="16" t="inlineStr">
        <is>
          <t xml:space="preserve">PAGAMENTO DE TITULO                B - 000003               </t>
        </is>
      </c>
      <c r="D35" s="17" t="n">
        <v>-79737.47</v>
      </c>
    </row>
    <row r="36">
      <c r="B36" s="15" t="inlineStr">
        <is>
          <t>04/03/2026</t>
        </is>
      </c>
      <c r="C36" s="16" t="inlineStr">
        <is>
          <t xml:space="preserve">TED PGTO FORNECEDORES CIP          D - 000001               </t>
        </is>
      </c>
      <c r="D36" s="17" t="n">
        <v>-445.5</v>
      </c>
    </row>
    <row r="37">
      <c r="B37" s="15" t="inlineStr">
        <is>
          <t>04/03/2026</t>
        </is>
      </c>
      <c r="C37" s="16" t="inlineStr">
        <is>
          <t xml:space="preserve">PAGAMENTO A FORNECEDORES           D - 000001               </t>
        </is>
      </c>
      <c r="D37" s="17" t="n">
        <v>-43.98</v>
      </c>
    </row>
    <row r="38">
      <c r="B38" s="15" t="inlineStr">
        <is>
          <t>05/03/2026</t>
        </is>
      </c>
      <c r="C38" s="16" t="inlineStr">
        <is>
          <t xml:space="preserve">PGTO FORNEC TIT PROPRIOS           B - 000001               </t>
        </is>
      </c>
      <c r="D38" s="17" t="n">
        <v>-893</v>
      </c>
    </row>
    <row r="39">
      <c r="B39" s="15" t="inlineStr">
        <is>
          <t>05/03/2026</t>
        </is>
      </c>
      <c r="C39" s="16" t="inlineStr">
        <is>
          <t xml:space="preserve">PAGAMENTO DE TITULO                B - 000004               </t>
        </is>
      </c>
      <c r="D39" s="17" t="n">
        <v>-81804.96000000001</v>
      </c>
    </row>
    <row r="40">
      <c r="B40" s="15" t="inlineStr">
        <is>
          <t>05/03/2026</t>
        </is>
      </c>
      <c r="C40" s="16" t="inlineStr">
        <is>
          <t xml:space="preserve">TED PGTO FORNECEDORES CIP          D - 000003               </t>
        </is>
      </c>
      <c r="D40" s="17" t="n">
        <v>-6356.71</v>
      </c>
    </row>
    <row r="41">
      <c r="B41" s="15" t="inlineStr">
        <is>
          <t>05/03/2026</t>
        </is>
      </c>
      <c r="C41" s="16" t="inlineStr">
        <is>
          <t xml:space="preserve">PAGAMENTO A FORNECEDORES           D - 000003               </t>
        </is>
      </c>
      <c r="D41" s="17" t="n">
        <v>-6751.28</v>
      </c>
    </row>
    <row r="42">
      <c r="B42" s="15" t="inlineStr">
        <is>
          <t>06/03/2026</t>
        </is>
      </c>
      <c r="C42" s="16" t="inlineStr">
        <is>
          <t xml:space="preserve">DEBITO AUT. CTA ENERGIA ELETRICA   ENEL ENERGIA             </t>
        </is>
      </c>
      <c r="D42" s="17" t="n">
        <v>-58091.98</v>
      </c>
    </row>
    <row r="43">
      <c r="B43" s="15" t="inlineStr">
        <is>
          <t>06/03/2026</t>
        </is>
      </c>
      <c r="C43" s="16" t="inlineStr">
        <is>
          <t xml:space="preserve">PAGAMENTO DE TITULO                B - 000001               </t>
        </is>
      </c>
      <c r="D43" s="17" t="n">
        <v>-131.95</v>
      </c>
    </row>
    <row r="44">
      <c r="B44" s="15" t="inlineStr">
        <is>
          <t>06/03/2026</t>
        </is>
      </c>
      <c r="C44" s="16" t="inlineStr">
        <is>
          <t xml:space="preserve">TED PGTO FORNECEDORES CIP          D - 000001               </t>
        </is>
      </c>
      <c r="D44" s="17" t="n">
        <v>-2815.45</v>
      </c>
    </row>
    <row r="45">
      <c r="B45" s="15" t="inlineStr">
        <is>
          <t>09/03/2026</t>
        </is>
      </c>
      <c r="C45" s="16" t="inlineStr">
        <is>
          <t xml:space="preserve">PAGAMENTO A FORNECEDORES           D - 000001               </t>
        </is>
      </c>
      <c r="D45" s="17" t="n">
        <v>-682.5</v>
      </c>
    </row>
    <row r="46">
      <c r="B46" s="15" t="inlineStr">
        <is>
          <t>09/03/2026</t>
        </is>
      </c>
      <c r="C46" s="16" t="inlineStr">
        <is>
          <t xml:space="preserve">PGTO FORNECEDORES - TRIB MUNICIPAL D - 000001               </t>
        </is>
      </c>
      <c r="D46" s="17" t="n">
        <v>-6967.52</v>
      </c>
    </row>
    <row r="47">
      <c r="B47" s="15" t="inlineStr">
        <is>
          <t>09/03/2026</t>
        </is>
      </c>
      <c r="C47" s="16" t="inlineStr">
        <is>
          <t xml:space="preserve">PAGFOR PIX OUTRA INST- DIFEREN TIT D - 000001               </t>
        </is>
      </c>
      <c r="D47" s="17" t="n">
        <v>-9309.790000000001</v>
      </c>
    </row>
    <row r="48">
      <c r="B48" s="15" t="inlineStr">
        <is>
          <t>10/03/2026</t>
        </is>
      </c>
      <c r="C48" s="16" t="inlineStr">
        <is>
          <t xml:space="preserve">DEBITO AUTOM MENSALIDADE TV A CABO CLARO BL / INT           </t>
        </is>
      </c>
      <c r="D48" s="17" t="n">
        <v>-239.76</v>
      </c>
    </row>
    <row r="49">
      <c r="B49" s="15" t="inlineStr">
        <is>
          <t>10/03/2026</t>
        </is>
      </c>
      <c r="C49" s="16" t="inlineStr">
        <is>
          <t xml:space="preserve">TED PGTO FORNECEDORES CIP          D - 000001               </t>
        </is>
      </c>
      <c r="D49" s="17" t="n">
        <v>-2837.17</v>
      </c>
    </row>
    <row r="50">
      <c r="B50" s="15" t="inlineStr">
        <is>
          <t>10/03/2026</t>
        </is>
      </c>
      <c r="C50" s="16" t="inlineStr">
        <is>
          <t xml:space="preserve">PAGAMENTO DE TITULO                B - 000009               </t>
        </is>
      </c>
      <c r="D50" s="17" t="n">
        <v>-253026.56</v>
      </c>
    </row>
    <row r="51">
      <c r="B51" s="15" t="inlineStr">
        <is>
          <t>11/03/2026</t>
        </is>
      </c>
      <c r="C51" s="16" t="inlineStr">
        <is>
          <t xml:space="preserve">PAGAMENTO DE TITULO                B - 000003               </t>
        </is>
      </c>
      <c r="D51" s="17" t="n">
        <v>-1059.11</v>
      </c>
    </row>
    <row r="52">
      <c r="B52" s="15" t="inlineStr">
        <is>
          <t>11/03/2026</t>
        </is>
      </c>
      <c r="C52" s="16" t="inlineStr">
        <is>
          <t xml:space="preserve">TED PGTO FORNECEDORES CIP          D - 000001               </t>
        </is>
      </c>
      <c r="D52" s="17" t="n">
        <v>-14717.04</v>
      </c>
    </row>
    <row r="53">
      <c r="B53" s="15" t="inlineStr">
        <is>
          <t>12/03/2026</t>
        </is>
      </c>
      <c r="C53" s="16" t="inlineStr">
        <is>
          <t xml:space="preserve">PAGAMENTO DE TITULO                B - 000008               </t>
        </is>
      </c>
      <c r="D53" s="17" t="n">
        <v>-6594.61</v>
      </c>
    </row>
    <row r="54">
      <c r="B54" s="15" t="inlineStr">
        <is>
          <t>13/03/2026</t>
        </is>
      </c>
      <c r="C54" s="16" t="inlineStr">
        <is>
          <t xml:space="preserve">TED PGTO FORNECEDORES CIP          D - 000001               </t>
        </is>
      </c>
      <c r="D54" s="17" t="n">
        <v>-2240</v>
      </c>
    </row>
    <row r="55">
      <c r="B55" s="15" t="inlineStr">
        <is>
          <t>16/03/2026</t>
        </is>
      </c>
      <c r="C55" s="16" t="inlineStr">
        <is>
          <t xml:space="preserve">DEBITO AUT. CONTA DE TELEFONE      VIVO FIXO - NAC          </t>
        </is>
      </c>
      <c r="D55" s="17" t="n">
        <v>-175.57</v>
      </c>
    </row>
    <row r="56">
      <c r="B56" s="15" t="inlineStr">
        <is>
          <t>16/03/2026</t>
        </is>
      </c>
      <c r="C56" s="16" t="inlineStr">
        <is>
          <t xml:space="preserve">DEBITO AUT. CONTA DE TELEFONE      VIVO FIXO - NAC          </t>
        </is>
      </c>
      <c r="D56" s="17" t="n">
        <v>-175.57</v>
      </c>
    </row>
    <row r="57">
      <c r="B57" s="15" t="inlineStr">
        <is>
          <t>16/03/2026</t>
        </is>
      </c>
      <c r="C57" s="16" t="inlineStr">
        <is>
          <t xml:space="preserve">DEBITO AUT. CONTA DE TELEFONE      VIVO FIXO - NAC          </t>
        </is>
      </c>
      <c r="D57" s="17" t="n">
        <v>-283.68</v>
      </c>
    </row>
    <row r="58">
      <c r="B58" s="15" t="inlineStr">
        <is>
          <t>16/03/2026</t>
        </is>
      </c>
      <c r="C58" s="16" t="inlineStr">
        <is>
          <t xml:space="preserve">TED PGTO FORNECEDORES CIP          D - 000002               </t>
        </is>
      </c>
      <c r="D58" s="17" t="n">
        <v>-426.61</v>
      </c>
    </row>
    <row r="59">
      <c r="B59" s="15" t="inlineStr">
        <is>
          <t>16/03/2026</t>
        </is>
      </c>
      <c r="C59" s="16" t="inlineStr">
        <is>
          <t xml:space="preserve">PAGAMENTO DE TITULO                B - 000004               </t>
        </is>
      </c>
      <c r="D59" s="17" t="n">
        <v>-4767.82</v>
      </c>
    </row>
    <row r="60">
      <c r="B60" s="15" t="inlineStr">
        <is>
          <t>16/03/2026</t>
        </is>
      </c>
      <c r="C60" s="16" t="inlineStr">
        <is>
          <t xml:space="preserve">PGTO FORNEC TIT PROPRIOS           B - 000001               </t>
        </is>
      </c>
      <c r="D60" s="17" t="n">
        <v>-791.92</v>
      </c>
    </row>
    <row r="61">
      <c r="B61" s="15" t="inlineStr">
        <is>
          <t>17/03/2026</t>
        </is>
      </c>
      <c r="C61" s="16" t="inlineStr">
        <is>
          <t xml:space="preserve">PGTO FORNEC TIT PROPRIOS           B - 000001               </t>
        </is>
      </c>
      <c r="D61" s="17" t="n">
        <v>-11567.7</v>
      </c>
    </row>
    <row r="62">
      <c r="B62" s="15" t="inlineStr">
        <is>
          <t>18/03/2026</t>
        </is>
      </c>
      <c r="C62" s="16" t="inlineStr">
        <is>
          <t xml:space="preserve">PGTO FORNECEDORES -CONCESSIONARIAS D - 000001               </t>
        </is>
      </c>
      <c r="D62" s="17" t="n">
        <v>-61.37</v>
      </c>
    </row>
    <row r="63">
      <c r="B63" s="15" t="inlineStr">
        <is>
          <t>18/03/2026</t>
        </is>
      </c>
      <c r="C63" s="16" t="inlineStr">
        <is>
          <t xml:space="preserve">PAGFOR PIX OUTRA INST- DIFEREN TIT D - 000001               </t>
        </is>
      </c>
      <c r="D63" s="17" t="n">
        <v>-1366.76</v>
      </c>
    </row>
    <row r="64">
      <c r="B64" s="15" t="inlineStr">
        <is>
          <t>18/03/2026</t>
        </is>
      </c>
      <c r="C64" s="16" t="inlineStr">
        <is>
          <t xml:space="preserve">PGTO FORNEC TIT PROPRIOS           B - 000001               </t>
        </is>
      </c>
      <c r="D64" s="17" t="n">
        <v>-262.68</v>
      </c>
    </row>
    <row r="65">
      <c r="B65" s="15" t="inlineStr">
        <is>
          <t>18/03/2026</t>
        </is>
      </c>
      <c r="C65" s="16" t="inlineStr">
        <is>
          <t xml:space="preserve">TED PGTO FORNECEDORES CIP          D - 000002               </t>
        </is>
      </c>
      <c r="D65" s="17" t="n">
        <v>-1096.25</v>
      </c>
    </row>
    <row r="66">
      <c r="B66" s="15" t="inlineStr">
        <is>
          <t>18/03/2026</t>
        </is>
      </c>
      <c r="C66" s="16" t="inlineStr">
        <is>
          <t xml:space="preserve">PAGAMENTO DE TITULO                B - 000002               </t>
        </is>
      </c>
      <c r="D66" s="17" t="n">
        <v>-23025</v>
      </c>
    </row>
    <row r="67">
      <c r="B67" s="15" t="inlineStr">
        <is>
          <t>19/03/2026</t>
        </is>
      </c>
      <c r="C67" s="16" t="inlineStr">
        <is>
          <t xml:space="preserve">PGTO FORNECEDORES - TRIB FEDERAL   D - 000001               </t>
        </is>
      </c>
      <c r="D67" s="17" t="n">
        <v>-62564.25</v>
      </c>
    </row>
    <row r="68">
      <c r="B68" s="15" t="inlineStr">
        <is>
          <t>19/03/2026</t>
        </is>
      </c>
      <c r="C68" s="16" t="inlineStr">
        <is>
          <t xml:space="preserve">TED PGTO FORNECEDORES CIP          D - 000002               </t>
        </is>
      </c>
      <c r="D68" s="17" t="n">
        <v>-1058.26</v>
      </c>
    </row>
    <row r="69">
      <c r="B69" s="15" t="inlineStr">
        <is>
          <t>19/03/2026</t>
        </is>
      </c>
      <c r="C69" s="16" t="inlineStr">
        <is>
          <t xml:space="preserve">PGTO FORNEC TIT PROPRIOS           B - 000001               </t>
        </is>
      </c>
      <c r="D69" s="17" t="n">
        <v>-1293.2</v>
      </c>
    </row>
    <row r="70">
      <c r="B70" s="15" t="inlineStr">
        <is>
          <t>19/03/2026</t>
        </is>
      </c>
      <c r="C70" s="16" t="inlineStr">
        <is>
          <t xml:space="preserve">PAGAMENTO A FORNECEDORES           D - 000003               </t>
        </is>
      </c>
      <c r="D70" s="17" t="n">
        <v>-4273.77</v>
      </c>
    </row>
    <row r="71">
      <c r="B71" s="15" t="inlineStr">
        <is>
          <t>19/03/2026</t>
        </is>
      </c>
      <c r="C71" s="16" t="inlineStr">
        <is>
          <t xml:space="preserve">PAGAMENTO DE TITULO                B - 000002               </t>
        </is>
      </c>
      <c r="D71" s="17" t="n">
        <v>-5876.16</v>
      </c>
    </row>
    <row r="72">
      <c r="B72" s="15" t="inlineStr">
        <is>
          <t>20/03/2026</t>
        </is>
      </c>
      <c r="C72" s="16" t="inlineStr">
        <is>
          <t xml:space="preserve">PGTO FORNEC TIT PROPRIOS           B - 000001               </t>
        </is>
      </c>
      <c r="D72" s="17" t="n">
        <v>-893</v>
      </c>
    </row>
    <row r="73">
      <c r="B73" s="15" t="inlineStr">
        <is>
          <t>20/03/2026</t>
        </is>
      </c>
      <c r="C73" s="16" t="inlineStr">
        <is>
          <t xml:space="preserve">PAGAMENTO DE TITULO                B - 000004               </t>
        </is>
      </c>
      <c r="D73" s="17" t="n">
        <v>-12678.84</v>
      </c>
    </row>
    <row r="74">
      <c r="B74" s="15" t="inlineStr">
        <is>
          <t>23/03/2026</t>
        </is>
      </c>
      <c r="C74" s="16" t="inlineStr">
        <is>
          <t xml:space="preserve">DEBITO AUT. CONTA GAS              COMGAS                   </t>
        </is>
      </c>
      <c r="D74" s="17" t="n">
        <v>-29030.86</v>
      </c>
    </row>
    <row r="75">
      <c r="B75" s="15" t="inlineStr">
        <is>
          <t>23/03/2026</t>
        </is>
      </c>
      <c r="C75" s="16" t="inlineStr">
        <is>
          <t xml:space="preserve">PAGAMENTO DE TITULO                B - 000002               </t>
        </is>
      </c>
      <c r="D75" s="17" t="n">
        <v>-3343.83</v>
      </c>
    </row>
    <row r="76">
      <c r="B76" s="15" t="inlineStr">
        <is>
          <t>25/03/2026</t>
        </is>
      </c>
      <c r="C76" s="16" t="inlineStr">
        <is>
          <t xml:space="preserve">DEBITO AUT. TELEFONE CELULAR       VIVO MOVEL-SP            </t>
        </is>
      </c>
      <c r="D76" s="17" t="n">
        <v>-135.18</v>
      </c>
    </row>
    <row r="77">
      <c r="B77" s="15" t="inlineStr">
        <is>
          <t>25/03/2026</t>
        </is>
      </c>
      <c r="C77" s="16" t="inlineStr">
        <is>
          <t xml:space="preserve">DEBITO AUT. CONTA AGUA E ESGOTO    SABESP                   </t>
        </is>
      </c>
      <c r="D77" s="17" t="n">
        <v>-17378.45</v>
      </c>
    </row>
    <row r="78">
      <c r="B78" s="15" t="inlineStr">
        <is>
          <t>25/03/2026</t>
        </is>
      </c>
      <c r="C78" s="16" t="inlineStr">
        <is>
          <t xml:space="preserve">PAGAMENTO DE TITULO                B - 000001               </t>
        </is>
      </c>
      <c r="D78" s="17" t="n">
        <v>-292.5</v>
      </c>
    </row>
    <row r="79">
      <c r="B79" s="15" t="inlineStr">
        <is>
          <t>25/03/2026</t>
        </is>
      </c>
      <c r="C79" s="16" t="inlineStr">
        <is>
          <t xml:space="preserve">PAGAMENTO A FORNECEDORES           D - 000001               </t>
        </is>
      </c>
      <c r="D79" s="17" t="n">
        <v>-3643.78</v>
      </c>
    </row>
    <row r="80">
      <c r="B80" s="15" t="inlineStr">
        <is>
          <t>25/03/2026</t>
        </is>
      </c>
      <c r="C80" s="16" t="inlineStr">
        <is>
          <t xml:space="preserve">TED PGTO FORNECEDORES CIP          D - 000001               </t>
        </is>
      </c>
      <c r="D80" s="17" t="n">
        <v>-7785.33</v>
      </c>
    </row>
    <row r="81">
      <c r="B81" s="15" t="inlineStr">
        <is>
          <t>26/03/2026</t>
        </is>
      </c>
      <c r="C81" s="16" t="inlineStr">
        <is>
          <t xml:space="preserve">TED PGTO FORNECEDORES CIP          D - 000001               </t>
        </is>
      </c>
      <c r="D81" s="17" t="n">
        <v>-492.96</v>
      </c>
    </row>
    <row r="82">
      <c r="B82" s="15" t="inlineStr">
        <is>
          <t>27/03/2026</t>
        </is>
      </c>
      <c r="C82" s="16" t="inlineStr">
        <is>
          <t xml:space="preserve">TED PGTO FORNECEDORES CIP          D - 000002               </t>
        </is>
      </c>
      <c r="D82" s="17" t="n">
        <v>-667.03</v>
      </c>
    </row>
    <row r="83">
      <c r="B83" s="15" t="inlineStr">
        <is>
          <t>27/03/2026</t>
        </is>
      </c>
      <c r="C83" s="16" t="inlineStr">
        <is>
          <t xml:space="preserve">PAGAMENTO DE TITULO                B - 000002               </t>
        </is>
      </c>
      <c r="D83" s="17" t="n">
        <v>-1913.79</v>
      </c>
    </row>
    <row r="84">
      <c r="B84" s="15" t="inlineStr">
        <is>
          <t>30/03/2026</t>
        </is>
      </c>
      <c r="C84" s="16" t="inlineStr">
        <is>
          <t xml:space="preserve">PAGAMENTO A FORNECEDORES           D - 000001               </t>
        </is>
      </c>
      <c r="D84" s="17" t="n">
        <v>-4122.95</v>
      </c>
    </row>
    <row r="85">
      <c r="B85" s="15" t="inlineStr">
        <is>
          <t>30/03/2026</t>
        </is>
      </c>
      <c r="C85" s="16" t="inlineStr">
        <is>
          <t xml:space="preserve">TED PGTO FORNECEDORES CIP          D - 000001               </t>
        </is>
      </c>
      <c r="D85" s="17" t="n">
        <v>-2750</v>
      </c>
    </row>
    <row r="86">
      <c r="B86" s="15" t="inlineStr">
        <is>
          <t>30/03/2026</t>
        </is>
      </c>
      <c r="C86" s="16" t="inlineStr">
        <is>
          <t xml:space="preserve">PGTO FORNEC TIT PROPRIOS           B - 000002               </t>
        </is>
      </c>
      <c r="D86" s="17" t="n">
        <v>-12842.44</v>
      </c>
    </row>
    <row r="87">
      <c r="B87" s="15" t="inlineStr">
        <is>
          <t>30/03/2026</t>
        </is>
      </c>
      <c r="C87" s="16" t="inlineStr">
        <is>
          <t xml:space="preserve">PAGAMENTO DE TITULO                B - 000004               </t>
        </is>
      </c>
      <c r="D87" s="17" t="n">
        <v>-15674.7</v>
      </c>
    </row>
    <row r="88">
      <c r="B88" s="15" t="inlineStr">
        <is>
          <t>31/03/2026</t>
        </is>
      </c>
      <c r="C88" s="16" t="inlineStr">
        <is>
          <t xml:space="preserve">PAGAMENTO DE TITULO                B - 000003               </t>
        </is>
      </c>
      <c r="D88" s="17" t="n">
        <v>-493.53</v>
      </c>
    </row>
    <row r="89">
      <c r="B89" s="18" t="inlineStr">
        <is>
          <t>TOTAL</t>
        </is>
      </c>
      <c r="C89" s="4" t="n"/>
      <c r="D89" s="19">
        <f>SUM(D34:D88)</f>
        <v/>
      </c>
    </row>
    <row r="92">
      <c r="B92" s="2" t="inlineStr">
        <is>
          <t>Saldo Inicial:</t>
        </is>
      </c>
      <c r="C92" s="5" t="n">
        <v>0</v>
      </c>
    </row>
    <row r="93">
      <c r="B93" s="2" t="inlineStr">
        <is>
          <t>Saldo Final:</t>
        </is>
      </c>
      <c r="C93" s="5" t="n">
        <v>0</v>
      </c>
    </row>
  </sheetData>
  <mergeCells count="3">
    <mergeCell ref="B30:C30"/>
    <mergeCell ref="B2:C2"/>
    <mergeCell ref="B89:C89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2026-04-08T19:48:50Z</dcterms:created>
  <dcterms:modified xmlns:dcterms="http://purl.org/dc/terms/" xmlns:xsi="http://www.w3.org/2001/XMLSchema-instance" xsi:type="dcterms:W3CDTF">2026-04-08T19:48:50Z</dcterms:modified>
</cp:coreProperties>
</file>
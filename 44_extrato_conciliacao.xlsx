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>
    <definedName name="_xlnm.Print_Titles" localSheetId="0">'Resumo'!$12:$12</definedName>
    <definedName name="_xlnm.Print_Area" localSheetId="0">'Resumo'!$B$1:$E$18</definedName>
    <definedName name="_xlnm.Print_Titles" localSheetId="1">'Tarifas'!$12:$12</definedName>
    <definedName name="_xlnm.Print_Area" localSheetId="1">'Tarifas'!$B$1:$E$16</definedName>
    <definedName name="_xlnm.Print_Titles" localSheetId="2">'Aplicacoes'!$12:$12</definedName>
    <definedName name="_xlnm.Print_Area" localSheetId="2">'Aplicacoes'!$B$1:$E$33</definedName>
    <definedName name="_xlnm.Print_Titles" localSheetId="3">'Geral'!$12:$12</definedName>
    <definedName name="_xlnm.Print_Area" localSheetId="3">'Geral'!$B$1:$E$94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66CC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0" fillId="0" borderId="4" pivotButton="0" quotePrefix="0" xfId="0"/>
    <xf numFmtId="0" fontId="5" fillId="0" borderId="1" pivotButton="0" quotePrefix="0" xfId="0"/>
    <xf numFmtId="4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</cols>
  <sheetData>
    <row r="2" ht="40" customHeight="1"/>
    <row r="4">
      <c r="B4" s="1" t="inlineStr">
        <is>
          <t>Nome:</t>
        </is>
      </c>
      <c r="C4" s="2" t="inlineStr">
        <is>
          <t>COND EDIFICIOS S M S A BL IEII</t>
        </is>
      </c>
    </row>
    <row r="5">
      <c r="B5" s="1" t="inlineStr">
        <is>
          <t>Agência/Conta:</t>
        </is>
      </c>
      <c r="C5" s="2" t="inlineStr">
        <is>
          <t>0758/0030137-8</t>
        </is>
      </c>
    </row>
    <row r="6">
      <c r="B6" s="1" t="inlineStr">
        <is>
          <t>Período:</t>
        </is>
      </c>
      <c r="C6" s="2" t="inlineStr">
        <is>
          <t>01/01/2026 até 31/01/2026</t>
        </is>
      </c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n">
        <v>53507.04</v>
      </c>
    </row>
    <row r="10">
      <c r="B10" s="2" t="inlineStr">
        <is>
          <t>Saldo Final:</t>
        </is>
      </c>
      <c r="C10" s="5" t="n">
        <v>40448.72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-134.75</v>
      </c>
    </row>
    <row r="14">
      <c r="B14" s="2" t="inlineStr">
        <is>
          <t>Total Créditos:</t>
        </is>
      </c>
      <c r="C14" s="7" t="n">
        <v>155898.34</v>
      </c>
    </row>
    <row r="15">
      <c r="B15" s="2" t="inlineStr">
        <is>
          <t>Total Débitos:</t>
        </is>
      </c>
      <c r="C15" s="6" t="n">
        <v>-168827.96</v>
      </c>
    </row>
    <row r="16">
      <c r="B16" s="2" t="inlineStr">
        <is>
          <t>Total Aplicações:</t>
        </is>
      </c>
      <c r="C16" s="5" t="n">
        <v>6.049999999999999</v>
      </c>
    </row>
    <row r="18">
      <c r="B18" s="1" t="inlineStr">
        <is>
          <t>APLICAÇÕES</t>
        </is>
      </c>
      <c r="C18" s="8" t="n"/>
    </row>
    <row r="20">
      <c r="B20" s="9" t="inlineStr">
        <is>
          <t>APLICAÇÂO AUTOMATICA</t>
        </is>
      </c>
      <c r="C20" s="4" t="n"/>
    </row>
    <row r="21">
      <c r="B21" s="4" t="inlineStr">
        <is>
          <t>Saldo Inicial:</t>
        </is>
      </c>
      <c r="C21" s="10" t="n">
        <v>0</v>
      </c>
    </row>
    <row r="22">
      <c r="B22" s="4" t="inlineStr">
        <is>
          <t>Saldo Final:</t>
        </is>
      </c>
      <c r="C22" s="10" t="n">
        <v>0</v>
      </c>
    </row>
  </sheetData>
  <mergeCells count="5">
    <mergeCell ref="B2:C2"/>
    <mergeCell ref="B20:C20"/>
    <mergeCell ref="B18:C18"/>
    <mergeCell ref="B8:C8"/>
    <mergeCell ref="B12:C12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COND EDIFICIOS S M S A BL IEII</t>
        </is>
      </c>
      <c r="D5" s="12" t="inlineStr">
        <is>
          <t>Agência/Conta:</t>
        </is>
      </c>
      <c r="E5" s="2" t="inlineStr">
        <is>
          <t>0758/0030137-8</t>
        </is>
      </c>
    </row>
    <row r="6">
      <c r="B6" s="1" t="inlineStr">
        <is>
          <t>Data:</t>
        </is>
      </c>
      <c r="C6" s="2" t="inlineStr">
        <is>
          <t>01/01/2026 até 31/01/2026</t>
        </is>
      </c>
    </row>
    <row r="9">
      <c r="B9" s="13" t="inlineStr">
        <is>
          <t>APURAÇÃO TARIFAS BANCÁRIAS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  <c r="E12" s="14" t="inlineStr">
        <is>
          <t>Debito (R$)</t>
        </is>
      </c>
    </row>
    <row r="13">
      <c r="B13" s="15" t="inlineStr">
        <is>
          <t>02/01/2026</t>
        </is>
      </c>
      <c r="C13" s="16" t="inlineStr">
        <is>
          <t>TAR COBRANCA MENSAL</t>
        </is>
      </c>
      <c r="D13" s="17" t="n"/>
      <c r="E13" s="18" t="n">
        <v>-134.75</v>
      </c>
    </row>
    <row r="14">
      <c r="B14" s="19" t="inlineStr">
        <is>
          <t>TOTAL</t>
        </is>
      </c>
      <c r="C14" s="4" t="n"/>
      <c r="D14" s="20">
        <f>SUM(D13:D13)</f>
        <v/>
      </c>
      <c r="E14" s="20">
        <f>SUM(E13:E13)</f>
        <v/>
      </c>
    </row>
  </sheetData>
  <mergeCells count="2">
    <mergeCell ref="B14:C14"/>
    <mergeCell ref="B2:C2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COND EDIFICIOS S M S A BL IEII</t>
        </is>
      </c>
      <c r="D5" s="1" t="inlineStr">
        <is>
          <t>Agência/Conta:</t>
        </is>
      </c>
      <c r="E5" s="2" t="inlineStr">
        <is>
          <t>0758/0030137-8</t>
        </is>
      </c>
    </row>
    <row r="6">
      <c r="B6" s="1" t="inlineStr">
        <is>
          <t>Período:</t>
        </is>
      </c>
      <c r="C6" s="2" t="inlineStr">
        <is>
          <t>01/01/2026 até 31/01/2026</t>
        </is>
      </c>
      <c r="D6" s="4" t="n"/>
      <c r="E6" s="4" t="n"/>
    </row>
    <row r="9">
      <c r="B9" s="13" t="inlineStr">
        <is>
          <t>APLICAÇÕES</t>
        </is>
      </c>
    </row>
    <row r="12">
      <c r="B12" s="21" t="inlineStr">
        <is>
          <t>GRUPO: APLICAÇÂO AUTOMATICA</t>
        </is>
      </c>
    </row>
    <row r="13">
      <c r="B13" s="14" t="inlineStr">
        <is>
          <t>Data</t>
        </is>
      </c>
      <c r="C13" s="14" t="inlineStr">
        <is>
          <t>Lançamento</t>
        </is>
      </c>
      <c r="D13" s="14" t="inlineStr">
        <is>
          <t>Aplicação (R$)</t>
        </is>
      </c>
      <c r="E13" s="14" t="inlineStr">
        <is>
          <t>Resgate (R$)</t>
        </is>
      </c>
    </row>
    <row r="14">
      <c r="B14" s="15" t="inlineStr">
        <is>
          <t>05/01/2026</t>
        </is>
      </c>
      <c r="C14" s="16" t="inlineStr">
        <is>
          <t>RENDIMENTOS REND PAGO APLIC AUT MAIS</t>
        </is>
      </c>
      <c r="D14" s="22" t="n">
        <v>1.3</v>
      </c>
      <c r="E14" s="22" t="n">
        <v/>
      </c>
    </row>
    <row r="15">
      <c r="B15" s="15" t="inlineStr">
        <is>
          <t>06/01/2026</t>
        </is>
      </c>
      <c r="C15" s="16" t="inlineStr">
        <is>
          <t>RENDIMENTOS REND PAGO APLIC AUT MAIS</t>
        </is>
      </c>
      <c r="D15" s="22" t="n">
        <v>1.22</v>
      </c>
      <c r="E15" s="22" t="n">
        <v/>
      </c>
    </row>
    <row r="16">
      <c r="B16" s="15" t="inlineStr">
        <is>
          <t>07/01/2026</t>
        </is>
      </c>
      <c r="C16" s="16" t="inlineStr">
        <is>
          <t>RENDIMENTOS REND PAGO APLIC AUT MAIS</t>
        </is>
      </c>
      <c r="D16" s="22" t="n">
        <v>0.11</v>
      </c>
      <c r="E16" s="22" t="n">
        <v/>
      </c>
    </row>
    <row r="17">
      <c r="B17" s="15" t="inlineStr">
        <is>
          <t>08/01/2026</t>
        </is>
      </c>
      <c r="C17" s="16" t="inlineStr">
        <is>
          <t>RENDIMENTOS REND PAGO APLIC AUT MAIS</t>
        </is>
      </c>
      <c r="D17" s="22" t="n">
        <v>0.09</v>
      </c>
      <c r="E17" s="22" t="n">
        <v/>
      </c>
    </row>
    <row r="18">
      <c r="B18" s="15" t="inlineStr">
        <is>
          <t>09/01/2026</t>
        </is>
      </c>
      <c r="C18" s="16" t="inlineStr">
        <is>
          <t>RENDIMENTOS REND PAGO APLIC AUT MAIS</t>
        </is>
      </c>
      <c r="D18" s="22" t="n">
        <v>0.06</v>
      </c>
      <c r="E18" s="22" t="n">
        <v/>
      </c>
    </row>
    <row r="19">
      <c r="B19" s="15" t="inlineStr">
        <is>
          <t>12/01/2026</t>
        </is>
      </c>
      <c r="C19" s="16" t="inlineStr">
        <is>
          <t>RENDIMENTOS REND PAGO APLIC AUT MAIS</t>
        </is>
      </c>
      <c r="D19" s="22" t="n">
        <v>0.42</v>
      </c>
      <c r="E19" s="22" t="n">
        <v/>
      </c>
    </row>
    <row r="20">
      <c r="B20" s="15" t="inlineStr">
        <is>
          <t>16/01/2026</t>
        </is>
      </c>
      <c r="C20" s="16" t="inlineStr">
        <is>
          <t>RENDIMENTOS REND PAGO APLIC AUT MAIS</t>
        </is>
      </c>
      <c r="D20" s="22" t="n">
        <v>0.18</v>
      </c>
      <c r="E20" s="22" t="n">
        <v/>
      </c>
    </row>
    <row r="21">
      <c r="B21" s="15" t="inlineStr">
        <is>
          <t>19/01/2026</t>
        </is>
      </c>
      <c r="C21" s="16" t="inlineStr">
        <is>
          <t>RENDIMENTOS REND PAGO APLIC AUT MAIS</t>
        </is>
      </c>
      <c r="D21" s="22" t="n">
        <v>0.31</v>
      </c>
      <c r="E21" s="22" t="n">
        <v/>
      </c>
    </row>
    <row r="22">
      <c r="B22" s="15" t="inlineStr">
        <is>
          <t>20/01/2026</t>
        </is>
      </c>
      <c r="C22" s="16" t="inlineStr">
        <is>
          <t>RENDIMENTOS REND PAGO APLIC AUT MAIS</t>
        </is>
      </c>
      <c r="D22" s="22" t="n">
        <v>1.7</v>
      </c>
      <c r="E22" s="22" t="n">
        <v/>
      </c>
    </row>
    <row r="23">
      <c r="B23" s="15" t="inlineStr">
        <is>
          <t>21/01/2026</t>
        </is>
      </c>
      <c r="C23" s="16" t="inlineStr">
        <is>
          <t>RENDIMENTOS REND PAGO APLIC AUT MAIS</t>
        </is>
      </c>
      <c r="D23" s="22" t="n">
        <v>0.34</v>
      </c>
      <c r="E23" s="22" t="n">
        <v/>
      </c>
    </row>
    <row r="24">
      <c r="B24" s="15" t="inlineStr">
        <is>
          <t>22/01/2026</t>
        </is>
      </c>
      <c r="C24" s="16" t="inlineStr">
        <is>
          <t>RENDIMENTOS REND PAGO APLIC AUT MAIS</t>
        </is>
      </c>
      <c r="D24" s="22" t="n">
        <v>0.02</v>
      </c>
      <c r="E24" s="22" t="n">
        <v/>
      </c>
    </row>
    <row r="25">
      <c r="B25" s="15" t="inlineStr">
        <is>
          <t>26/01/2026</t>
        </is>
      </c>
      <c r="C25" s="16" t="inlineStr">
        <is>
          <t>RENDIMENTOS REND PAGO APLIC AUT MAIS</t>
        </is>
      </c>
      <c r="D25" s="22" t="n">
        <v>0.06</v>
      </c>
      <c r="E25" s="22" t="n">
        <v/>
      </c>
    </row>
    <row r="26">
      <c r="B26" s="15" t="inlineStr">
        <is>
          <t>28/01/2026</t>
        </is>
      </c>
      <c r="C26" s="16" t="inlineStr">
        <is>
          <t>RENDIMENTOS REND PAGO APLIC AUT MAIS</t>
        </is>
      </c>
      <c r="D26" s="22" t="n">
        <v>0.03</v>
      </c>
      <c r="E26" s="22" t="n">
        <v/>
      </c>
    </row>
    <row r="27">
      <c r="B27" s="15" t="inlineStr">
        <is>
          <t>29/01/2026</t>
        </is>
      </c>
      <c r="C27" s="16" t="inlineStr">
        <is>
          <t>RENDIMENTOS REND PAGO APLIC AUT MAIS</t>
        </is>
      </c>
      <c r="D27" s="22" t="n">
        <v>0.21</v>
      </c>
      <c r="E27" s="22" t="n">
        <v/>
      </c>
    </row>
    <row r="28">
      <c r="B28" s="19" t="inlineStr">
        <is>
          <t>TOTAL</t>
        </is>
      </c>
      <c r="C28" s="4" t="n"/>
      <c r="D28" s="20">
        <f>SUM(D14:D27)</f>
        <v/>
      </c>
      <c r="E28" s="20">
        <f>SUM(E14:E27)</f>
        <v/>
      </c>
    </row>
    <row r="29">
      <c r="D29" s="2" t="inlineStr">
        <is>
          <t>Saldo Inicial:</t>
        </is>
      </c>
      <c r="E29" s="10">
        <f>Resumo!C21</f>
        <v/>
      </c>
    </row>
    <row r="30">
      <c r="D30" s="2" t="inlineStr">
        <is>
          <t>Saldo Final:</t>
        </is>
      </c>
      <c r="E30" s="10">
        <f>Resumo!C22</f>
        <v/>
      </c>
    </row>
    <row r="31">
      <c r="D31" s="2" t="inlineStr">
        <is>
          <t>Rendimento:</t>
        </is>
      </c>
      <c r="E31" s="10">
        <f>Resumo!C22-(Resumo!C21+D28-E28)</f>
        <v/>
      </c>
    </row>
    <row r="33">
      <c r="E33" s="5" t="n"/>
    </row>
  </sheetData>
  <mergeCells count="3">
    <mergeCell ref="B12:E12"/>
    <mergeCell ref="B2:C2"/>
    <mergeCell ref="B28:C28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9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COND EDIFICIOS S M S A BL IEII</t>
        </is>
      </c>
      <c r="D5" s="12" t="inlineStr">
        <is>
          <t>Agência/Conta:</t>
        </is>
      </c>
      <c r="E5" s="2" t="inlineStr">
        <is>
          <t>0758/0030137-8</t>
        </is>
      </c>
    </row>
    <row r="6">
      <c r="B6" s="1" t="inlineStr">
        <is>
          <t>Data:</t>
        </is>
      </c>
      <c r="C6" s="2" t="inlineStr">
        <is>
          <t>01/01/2026 até 31/01/2026</t>
        </is>
      </c>
    </row>
    <row r="9">
      <c r="B9" s="13" t="inlineStr">
        <is>
          <t>GERAL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  <c r="E12" s="14" t="inlineStr">
        <is>
          <t>Debito (R$)</t>
        </is>
      </c>
    </row>
    <row r="13">
      <c r="B13" s="15" t="inlineStr">
        <is>
          <t>31/12/2025</t>
        </is>
      </c>
      <c r="C13" s="16" t="inlineStr">
        <is>
          <t>SALDO ANTERIOR</t>
        </is>
      </c>
      <c r="D13" s="17" t="n"/>
      <c r="E13" s="17" t="n"/>
    </row>
    <row r="14">
      <c r="B14" s="15" t="inlineStr">
        <is>
          <t>02/01/2026</t>
        </is>
      </c>
      <c r="C14" s="16" t="inlineStr">
        <is>
          <t>BOLETO RECEBIDO 02/01S</t>
        </is>
      </c>
      <c r="D14" s="22" t="n">
        <v>10427.12</v>
      </c>
      <c r="E14" s="17" t="n"/>
    </row>
    <row r="15">
      <c r="B15" s="15" t="inlineStr">
        <is>
          <t>02/01/2026</t>
        </is>
      </c>
      <c r="C15" s="16" t="inlineStr">
        <is>
          <t>SISPAG FORNECEDORES PAG TIT BANCO 033</t>
        </is>
      </c>
      <c r="D15" s="17" t="n"/>
      <c r="E15" s="18" t="n">
        <v>-6097.33</v>
      </c>
    </row>
    <row r="16">
      <c r="B16" s="15" t="inlineStr">
        <is>
          <t>02/01/2026</t>
        </is>
      </c>
      <c r="C16" s="16" t="inlineStr">
        <is>
          <t>BOLETOS RECEBIDOS</t>
        </is>
      </c>
      <c r="D16" s="22" t="n">
        <v>61999.4</v>
      </c>
      <c r="E16" s="17" t="n"/>
    </row>
    <row r="17">
      <c r="B17" s="15" t="inlineStr">
        <is>
          <t>02/01/2026</t>
        </is>
      </c>
      <c r="C17" s="16" t="inlineStr">
        <is>
          <t>SALDO TOTAL DISPONÍVEL DIA</t>
        </is>
      </c>
      <c r="D17" s="17" t="n"/>
      <c r="E17" s="17" t="n"/>
    </row>
    <row r="18">
      <c r="B18" s="15" t="inlineStr">
        <is>
          <t>05/01/2026</t>
        </is>
      </c>
      <c r="C18" s="16" t="inlineStr">
        <is>
          <t>DA  ELETROPAULO 19743864</t>
        </is>
      </c>
      <c r="D18" s="17" t="n"/>
      <c r="E18" s="18" t="n">
        <v>-3465.83</v>
      </c>
    </row>
    <row r="19">
      <c r="B19" s="15" t="inlineStr">
        <is>
          <t>05/01/2026</t>
        </is>
      </c>
      <c r="C19" s="16" t="inlineStr">
        <is>
          <t>SISPAG FORNECEDORES</t>
        </is>
      </c>
      <c r="D19" s="17" t="n"/>
      <c r="E19" s="18" t="n">
        <v>-29507.21</v>
      </c>
    </row>
    <row r="20">
      <c r="B20" s="15" t="inlineStr">
        <is>
          <t>05/01/2026</t>
        </is>
      </c>
      <c r="C20" s="16" t="inlineStr">
        <is>
          <t>SISPAG FORNECEDORES PAG TIT 109000422313</t>
        </is>
      </c>
      <c r="D20" s="17" t="n"/>
      <c r="E20" s="18" t="n">
        <v>-656.11</v>
      </c>
    </row>
    <row r="21">
      <c r="B21" s="15" t="inlineStr">
        <is>
          <t>05/01/2026</t>
        </is>
      </c>
      <c r="C21" s="16" t="inlineStr">
        <is>
          <t>SISPAG FORNECEDORES 97802598031208</t>
        </is>
      </c>
      <c r="D21" s="17" t="n"/>
      <c r="E21" s="18" t="n">
        <v>-165.54</v>
      </c>
    </row>
    <row r="22">
      <c r="B22" s="15" t="inlineStr">
        <is>
          <t>05/01/2026</t>
        </is>
      </c>
      <c r="C22" s="16" t="inlineStr">
        <is>
          <t>SISPAG FORNECEDORES PAG TIT BANCO 033</t>
        </is>
      </c>
      <c r="D22" s="17" t="n"/>
      <c r="E22" s="18" t="n">
        <v>-1841.35</v>
      </c>
    </row>
    <row r="23">
      <c r="B23" s="15" t="inlineStr">
        <is>
          <t>05/01/2026</t>
        </is>
      </c>
      <c r="C23" s="16" t="inlineStr">
        <is>
          <t>BOLETOS RECEBIDOS  05/01S</t>
        </is>
      </c>
      <c r="D23" s="22" t="n">
        <v>16778.14</v>
      </c>
      <c r="E23" s="17" t="n"/>
    </row>
    <row r="24">
      <c r="B24" s="15" t="inlineStr">
        <is>
          <t>05/01/2026</t>
        </is>
      </c>
      <c r="C24" s="16" t="inlineStr">
        <is>
          <t>SALDO TOTAL DISPONÍVEL DIA</t>
        </is>
      </c>
      <c r="D24" s="17" t="n"/>
      <c r="E24" s="17" t="n"/>
    </row>
    <row r="25">
      <c r="B25" s="15" t="inlineStr">
        <is>
          <t>06/01/2026</t>
        </is>
      </c>
      <c r="C25" s="16" t="inlineStr">
        <is>
          <t>DA  VIVO FIXO 9602457939</t>
        </is>
      </c>
      <c r="D25" s="17" t="n"/>
      <c r="E25" s="18" t="n">
        <v>-160.59</v>
      </c>
    </row>
    <row r="26">
      <c r="B26" s="15" t="inlineStr">
        <is>
          <t>06/01/2026</t>
        </is>
      </c>
      <c r="C26" s="16" t="inlineStr">
        <is>
          <t>SISPAG SALARIOS</t>
        </is>
      </c>
      <c r="D26" s="17" t="n"/>
      <c r="E26" s="18" t="n">
        <v>-13642.09</v>
      </c>
    </row>
    <row r="27">
      <c r="B27" s="15" t="inlineStr">
        <is>
          <t>06/01/2026</t>
        </is>
      </c>
      <c r="C27" s="16" t="inlineStr">
        <is>
          <t>SISPAG FORNECEDORES 97844629031218</t>
        </is>
      </c>
      <c r="D27" s="17" t="n"/>
      <c r="E27" s="18" t="n">
        <v>-2668.96</v>
      </c>
    </row>
    <row r="28">
      <c r="B28" s="15" t="inlineStr">
        <is>
          <t>06/01/2026</t>
        </is>
      </c>
      <c r="C28" s="16" t="inlineStr">
        <is>
          <t>SISPAG FORNECEDORES 97845490031226</t>
        </is>
      </c>
      <c r="D28" s="17" t="n"/>
      <c r="E28" s="18" t="n">
        <v>-1099.71</v>
      </c>
    </row>
    <row r="29">
      <c r="B29" s="15" t="inlineStr">
        <is>
          <t>06/01/2026</t>
        </is>
      </c>
      <c r="C29" s="16" t="inlineStr">
        <is>
          <t>SALDO TOTAL DISPONÍVEL DIA</t>
        </is>
      </c>
      <c r="D29" s="17" t="n"/>
      <c r="E29" s="17" t="n"/>
    </row>
    <row r="30">
      <c r="B30" s="15" t="inlineStr">
        <is>
          <t>07/01/2026</t>
        </is>
      </c>
      <c r="C30" s="16" t="inlineStr">
        <is>
          <t>SISPAG FORNECEDORES 97843638031213</t>
        </is>
      </c>
      <c r="D30" s="17" t="n"/>
      <c r="E30" s="18" t="n">
        <v>-3764.38</v>
      </c>
    </row>
    <row r="31">
      <c r="B31" s="15" t="inlineStr">
        <is>
          <t>07/01/2026</t>
        </is>
      </c>
      <c r="C31" s="16" t="inlineStr">
        <is>
          <t>SISPAG FORNECEDORES PAG TIT 157000411814</t>
        </is>
      </c>
      <c r="D31" s="17" t="n"/>
      <c r="E31" s="18" t="n">
        <v>-5000</v>
      </c>
    </row>
    <row r="32">
      <c r="B32" s="15" t="inlineStr">
        <is>
          <t>07/01/2026</t>
        </is>
      </c>
      <c r="C32" s="16" t="inlineStr">
        <is>
          <t>SALDO TOTAL DISPONÍVEL DIA</t>
        </is>
      </c>
      <c r="D32" s="17" t="n"/>
      <c r="E32" s="17" t="n"/>
    </row>
    <row r="33">
      <c r="B33" s="15" t="inlineStr">
        <is>
          <t>08/01/2026</t>
        </is>
      </c>
      <c r="C33" s="16" t="inlineStr">
        <is>
          <t>SISPAG FORNECEDORES</t>
        </is>
      </c>
      <c r="D33" s="17" t="n"/>
      <c r="E33" s="18" t="n">
        <v>-2980</v>
      </c>
    </row>
    <row r="34">
      <c r="B34" s="15" t="inlineStr">
        <is>
          <t>08/01/2026</t>
        </is>
      </c>
      <c r="C34" s="16" t="inlineStr">
        <is>
          <t>SISPAG FORNECEDORES PAG TIT BANCO 033</t>
        </is>
      </c>
      <c r="D34" s="17" t="n"/>
      <c r="E34" s="18" t="n">
        <v>-94.81</v>
      </c>
    </row>
    <row r="35">
      <c r="B35" s="15" t="inlineStr">
        <is>
          <t>08/01/2026</t>
        </is>
      </c>
      <c r="C35" s="16" t="inlineStr">
        <is>
          <t>SISPAG FORNECEDORES 97845424031254</t>
        </is>
      </c>
      <c r="D35" s="17" t="n"/>
      <c r="E35" s="18" t="n">
        <v>-1220</v>
      </c>
    </row>
    <row r="36">
      <c r="B36" s="15" t="inlineStr">
        <is>
          <t>08/01/2026</t>
        </is>
      </c>
      <c r="C36" s="16" t="inlineStr">
        <is>
          <t>SISPAG FORNECEDORES PAG TIT 109000716004</t>
        </is>
      </c>
      <c r="D36" s="17" t="n"/>
      <c r="E36" s="18" t="n">
        <v>-1557.52</v>
      </c>
    </row>
    <row r="37">
      <c r="B37" s="15" t="inlineStr">
        <is>
          <t>08/01/2026</t>
        </is>
      </c>
      <c r="C37" s="16" t="inlineStr">
        <is>
          <t>SALDO TOTAL DISPONÍVEL DIA</t>
        </is>
      </c>
      <c r="D37" s="17" t="n"/>
      <c r="E37" s="17" t="n"/>
    </row>
    <row r="38">
      <c r="B38" s="15" t="inlineStr">
        <is>
          <t>09/01/2026</t>
        </is>
      </c>
      <c r="C38" s="16" t="inlineStr">
        <is>
          <t>SISPAG TRIBUTOS PM S PAULO</t>
        </is>
      </c>
      <c r="D38" s="17" t="n"/>
      <c r="E38" s="18" t="n">
        <v>-769.7</v>
      </c>
    </row>
    <row r="39">
      <c r="B39" s="15" t="inlineStr">
        <is>
          <t>09/01/2026</t>
        </is>
      </c>
      <c r="C39" s="16" t="inlineStr">
        <is>
          <t>SISPAG FORNECEDORES 97847867031294</t>
        </is>
      </c>
      <c r="D39" s="17" t="n"/>
      <c r="E39" s="18" t="n">
        <v>-2990.4</v>
      </c>
    </row>
    <row r="40">
      <c r="B40" s="15" t="inlineStr">
        <is>
          <t>09/01/2026</t>
        </is>
      </c>
      <c r="C40" s="16" t="inlineStr">
        <is>
          <t>SALDO TOTAL DISPONÍVEL DIA</t>
        </is>
      </c>
      <c r="D40" s="17" t="n"/>
      <c r="E40" s="17" t="n"/>
    </row>
    <row r="41">
      <c r="B41" s="15" t="inlineStr">
        <is>
          <t>12/01/2026</t>
        </is>
      </c>
      <c r="C41" s="16" t="inlineStr">
        <is>
          <t>DA  ELETROPAULO 12984775</t>
        </is>
      </c>
      <c r="D41" s="17" t="n"/>
      <c r="E41" s="18" t="n">
        <v>-103.5</v>
      </c>
    </row>
    <row r="42">
      <c r="B42" s="15" t="inlineStr">
        <is>
          <t>12/01/2026</t>
        </is>
      </c>
      <c r="C42" s="16" t="inlineStr">
        <is>
          <t>DA  CLARO BL/IT 25662613</t>
        </is>
      </c>
      <c r="D42" s="17" t="n"/>
      <c r="E42" s="18" t="n">
        <v>-136.63</v>
      </c>
    </row>
    <row r="43">
      <c r="B43" s="15" t="inlineStr">
        <is>
          <t>12/01/2026</t>
        </is>
      </c>
      <c r="C43" s="16" t="inlineStr">
        <is>
          <t>DA  ELETROPAULO 12998768</t>
        </is>
      </c>
      <c r="D43" s="17" t="n"/>
      <c r="E43" s="18" t="n">
        <v>-103.5</v>
      </c>
    </row>
    <row r="44">
      <c r="B44" s="15" t="inlineStr">
        <is>
          <t>12/01/2026</t>
        </is>
      </c>
      <c r="C44" s="16" t="inlineStr">
        <is>
          <t>SISPAG FORNECEDORES PAG TIT 109005382310</t>
        </is>
      </c>
      <c r="D44" s="17" t="n"/>
      <c r="E44" s="18" t="n">
        <v>-240.28</v>
      </c>
    </row>
    <row r="45">
      <c r="B45" s="15" t="inlineStr">
        <is>
          <t>12/01/2026</t>
        </is>
      </c>
      <c r="C45" s="16" t="inlineStr">
        <is>
          <t>SISPAG FORNECEDORES 97848860031315</t>
        </is>
      </c>
      <c r="D45" s="17" t="n"/>
      <c r="E45" s="18" t="n">
        <v>-22597.5</v>
      </c>
    </row>
    <row r="46">
      <c r="B46" s="15" t="inlineStr">
        <is>
          <t>12/01/2026</t>
        </is>
      </c>
      <c r="C46" s="16" t="inlineStr">
        <is>
          <t>SALDO TOTAL DISPONÍVEL DIA</t>
        </is>
      </c>
      <c r="D46" s="17" t="n"/>
      <c r="E46" s="17" t="n"/>
    </row>
    <row r="47">
      <c r="B47" s="15" t="inlineStr">
        <is>
          <t>14/01/2026</t>
        </is>
      </c>
      <c r="C47" s="16" t="inlineStr">
        <is>
          <t>SISPAG FORNECEDORES PAG TIT BANCO 260</t>
        </is>
      </c>
      <c r="D47" s="17" t="n"/>
      <c r="E47" s="18" t="n">
        <v>-1101.06</v>
      </c>
    </row>
    <row r="48">
      <c r="B48" s="15" t="inlineStr">
        <is>
          <t>14/01/2026</t>
        </is>
      </c>
      <c r="C48" s="16" t="inlineStr">
        <is>
          <t>BOLETOS RECEBIDOS  14/01S</t>
        </is>
      </c>
      <c r="D48" s="22" t="n">
        <v>6785.39</v>
      </c>
      <c r="E48" s="17" t="n"/>
    </row>
    <row r="49">
      <c r="B49" s="15" t="inlineStr">
        <is>
          <t>14/01/2026</t>
        </is>
      </c>
      <c r="C49" s="16" t="inlineStr">
        <is>
          <t>SALDO TOTAL DISPONÍVEL DIA</t>
        </is>
      </c>
      <c r="D49" s="17" t="n"/>
      <c r="E49" s="17" t="n"/>
    </row>
    <row r="50">
      <c r="B50" s="15" t="inlineStr">
        <is>
          <t>15/01/2026</t>
        </is>
      </c>
      <c r="C50" s="16" t="inlineStr">
        <is>
          <t>BOLETO RECEBIDO 15/01S</t>
        </is>
      </c>
      <c r="D50" s="22" t="n">
        <v>9826.219999999999</v>
      </c>
      <c r="E50" s="17" t="n"/>
    </row>
    <row r="51">
      <c r="B51" s="15" t="inlineStr">
        <is>
          <t>15/01/2026</t>
        </is>
      </c>
      <c r="C51" s="16" t="inlineStr">
        <is>
          <t>SISPAG FORNECEDORES</t>
        </is>
      </c>
      <c r="D51" s="17" t="n"/>
      <c r="E51" s="18" t="n">
        <v>-4261.5</v>
      </c>
    </row>
    <row r="52">
      <c r="B52" s="15" t="inlineStr">
        <is>
          <t>15/01/2026</t>
        </is>
      </c>
      <c r="C52" s="16" t="inlineStr">
        <is>
          <t>SISPAG FORNECEDORES</t>
        </is>
      </c>
      <c r="D52" s="17" t="n"/>
      <c r="E52" s="18" t="n">
        <v>-705.9</v>
      </c>
    </row>
    <row r="53">
      <c r="B53" s="15" t="inlineStr">
        <is>
          <t>15/01/2026</t>
        </is>
      </c>
      <c r="C53" s="16" t="inlineStr">
        <is>
          <t>SISPAG FORNECEDORES PIX QR-CODE</t>
        </is>
      </c>
      <c r="D53" s="17" t="n"/>
      <c r="E53" s="18" t="n">
        <v>-3700.67</v>
      </c>
    </row>
    <row r="54">
      <c r="B54" s="15" t="inlineStr">
        <is>
          <t>15/01/2026</t>
        </is>
      </c>
      <c r="C54" s="16" t="inlineStr">
        <is>
          <t>BOLETOS RECEBIDOS  15/01S</t>
        </is>
      </c>
      <c r="D54" s="22" t="n">
        <v>38657.52</v>
      </c>
      <c r="E54" s="17" t="n"/>
    </row>
    <row r="55">
      <c r="B55" s="15" t="inlineStr">
        <is>
          <t>15/01/2026</t>
        </is>
      </c>
      <c r="C55" s="16" t="inlineStr">
        <is>
          <t>SALDO TOTAL DISPONÍVEL DIA</t>
        </is>
      </c>
      <c r="D55" s="17" t="n"/>
      <c r="E55" s="17" t="n"/>
    </row>
    <row r="56">
      <c r="B56" s="15" t="inlineStr">
        <is>
          <t>16/01/2026</t>
        </is>
      </c>
      <c r="C56" s="16" t="inlineStr">
        <is>
          <t>SABESP      0079943209</t>
        </is>
      </c>
      <c r="D56" s="17" t="n"/>
      <c r="E56" s="18" t="n">
        <v>-3859.82</v>
      </c>
    </row>
    <row r="57">
      <c r="B57" s="15" t="inlineStr">
        <is>
          <t>16/01/2026</t>
        </is>
      </c>
      <c r="C57" s="16" t="inlineStr">
        <is>
          <t>SISPAG FORNECEDORES 97853028031381</t>
        </is>
      </c>
      <c r="D57" s="17" t="n"/>
      <c r="E57" s="18" t="n">
        <v>-199.17</v>
      </c>
    </row>
    <row r="58">
      <c r="B58" s="15" t="inlineStr">
        <is>
          <t>16/01/2026</t>
        </is>
      </c>
      <c r="C58" s="16" t="inlineStr">
        <is>
          <t>SISPAG FORNECEDORES PAG TIT 157000029919</t>
        </is>
      </c>
      <c r="D58" s="17" t="n"/>
      <c r="E58" s="18" t="n">
        <v>-310</v>
      </c>
    </row>
    <row r="59">
      <c r="B59" s="15" t="inlineStr">
        <is>
          <t>16/01/2026</t>
        </is>
      </c>
      <c r="C59" s="16" t="inlineStr">
        <is>
          <t>SALDO TOTAL DISPONÍVEL DIA</t>
        </is>
      </c>
      <c r="D59" s="17" t="n"/>
      <c r="E59" s="17" t="n"/>
    </row>
    <row r="60">
      <c r="B60" s="15" t="inlineStr">
        <is>
          <t>19/01/2026</t>
        </is>
      </c>
      <c r="C60" s="16" t="inlineStr">
        <is>
          <t>DA  COMGAS 01132024</t>
        </is>
      </c>
      <c r="D60" s="17" t="n"/>
      <c r="E60" s="18" t="n">
        <v>-12.4</v>
      </c>
    </row>
    <row r="61">
      <c r="B61" s="15" t="inlineStr">
        <is>
          <t>19/01/2026</t>
        </is>
      </c>
      <c r="C61" s="16" t="inlineStr">
        <is>
          <t>DA  VIVO-SP 04488824373</t>
        </is>
      </c>
      <c r="D61" s="17" t="n"/>
      <c r="E61" s="18" t="n">
        <v>-64.28</v>
      </c>
    </row>
    <row r="62">
      <c r="B62" s="15" t="inlineStr">
        <is>
          <t>19/01/2026</t>
        </is>
      </c>
      <c r="C62" s="16" t="inlineStr">
        <is>
          <t>SISPAG SALARIOS</t>
        </is>
      </c>
      <c r="D62" s="17" t="n"/>
      <c r="E62" s="18" t="n">
        <v>-4949.31</v>
      </c>
    </row>
    <row r="63">
      <c r="B63" s="15" t="inlineStr">
        <is>
          <t>19/01/2026</t>
        </is>
      </c>
      <c r="C63" s="16" t="inlineStr">
        <is>
          <t>SISPAG FORNECEDORES 97853515031393</t>
        </is>
      </c>
      <c r="D63" s="17" t="n"/>
      <c r="E63" s="18" t="n">
        <v>-649.02</v>
      </c>
    </row>
    <row r="64">
      <c r="B64" s="15" t="inlineStr">
        <is>
          <t>19/01/2026</t>
        </is>
      </c>
      <c r="C64" s="16" t="inlineStr">
        <is>
          <t>SALDO TOTAL DISPONÍVEL DIA</t>
        </is>
      </c>
      <c r="D64" s="17" t="n"/>
      <c r="E64" s="17" t="n"/>
    </row>
    <row r="65">
      <c r="B65" s="15" t="inlineStr">
        <is>
          <t>20/01/2026</t>
        </is>
      </c>
      <c r="C65" s="16" t="inlineStr">
        <is>
          <t>DEV TED 34965D09MOT2</t>
        </is>
      </c>
      <c r="D65" s="22" t="n">
        <v>1130</v>
      </c>
      <c r="E65" s="17" t="n"/>
    </row>
    <row r="66">
      <c r="B66" s="15" t="inlineStr">
        <is>
          <t>20/01/2026</t>
        </is>
      </c>
      <c r="C66" s="16" t="inlineStr">
        <is>
          <t>DA  COMGAS 01132032</t>
        </is>
      </c>
      <c r="D66" s="17" t="n"/>
      <c r="E66" s="18" t="n">
        <v>-72.01000000000001</v>
      </c>
    </row>
    <row r="67">
      <c r="B67" s="15" t="inlineStr">
        <is>
          <t>20/01/2026</t>
        </is>
      </c>
      <c r="C67" s="16" t="inlineStr">
        <is>
          <t>SISPAG TRIBUTOS DARF</t>
        </is>
      </c>
      <c r="D67" s="17" t="n"/>
      <c r="E67" s="18" t="n">
        <v>-22748.35</v>
      </c>
    </row>
    <row r="68">
      <c r="B68" s="15" t="inlineStr">
        <is>
          <t>20/01/2026</t>
        </is>
      </c>
      <c r="C68" s="16" t="inlineStr">
        <is>
          <t>SISPAG FORNECEDORES 97855266031435</t>
        </is>
      </c>
      <c r="D68" s="17" t="n"/>
      <c r="E68" s="18" t="n">
        <v>-4500.91</v>
      </c>
    </row>
    <row r="69">
      <c r="B69" s="15" t="inlineStr">
        <is>
          <t>20/01/2026</t>
        </is>
      </c>
      <c r="C69" s="16" t="inlineStr">
        <is>
          <t>SISPAG FORNECEDORES 97852892031384</t>
        </is>
      </c>
      <c r="D69" s="17" t="n"/>
      <c r="E69" s="18" t="n">
        <v>-1130</v>
      </c>
    </row>
    <row r="70">
      <c r="B70" s="15" t="inlineStr">
        <is>
          <t>20/01/2026</t>
        </is>
      </c>
      <c r="C70" s="16" t="inlineStr">
        <is>
          <t>SISPAG FORNECEDORES PAG TIT BANCO 033</t>
        </is>
      </c>
      <c r="D70" s="17" t="n"/>
      <c r="E70" s="18" t="n">
        <v>-200.2</v>
      </c>
    </row>
    <row r="71">
      <c r="B71" s="15" t="inlineStr">
        <is>
          <t>20/01/2026</t>
        </is>
      </c>
      <c r="C71" s="16" t="inlineStr">
        <is>
          <t>SALDO TOTAL DISPONÍVEL DIA</t>
        </is>
      </c>
      <c r="D71" s="17" t="n"/>
      <c r="E71" s="17" t="n"/>
    </row>
    <row r="72">
      <c r="B72" s="15" t="inlineStr">
        <is>
          <t>21/01/2026</t>
        </is>
      </c>
      <c r="C72" s="16" t="inlineStr">
        <is>
          <t>SISPAG FORNECEDORES PAG TIT 109002711042</t>
        </is>
      </c>
      <c r="D72" s="17" t="n"/>
      <c r="E72" s="18" t="n">
        <v>-7927.31</v>
      </c>
    </row>
    <row r="73">
      <c r="B73" s="15" t="inlineStr">
        <is>
          <t>21/01/2026</t>
        </is>
      </c>
      <c r="C73" s="16" t="inlineStr">
        <is>
          <t>SALDO TOTAL DISPONÍVEL DIA</t>
        </is>
      </c>
      <c r="D73" s="17" t="n"/>
      <c r="E73" s="17" t="n"/>
    </row>
    <row r="74">
      <c r="B74" s="15" t="inlineStr">
        <is>
          <t>22/01/2026</t>
        </is>
      </c>
      <c r="C74" s="16" t="inlineStr">
        <is>
          <t>SISPAG FORNECEDORES PIX TRANSFERENCIA</t>
        </is>
      </c>
      <c r="D74" s="17" t="n"/>
      <c r="E74" s="18" t="n">
        <v>-1130</v>
      </c>
    </row>
    <row r="75">
      <c r="B75" s="15" t="inlineStr">
        <is>
          <t>22/01/2026</t>
        </is>
      </c>
      <c r="C75" s="16" t="inlineStr">
        <is>
          <t>SALDO TOTAL DISPONÍVEL DIA</t>
        </is>
      </c>
      <c r="D75" s="17" t="n"/>
      <c r="E75" s="17" t="n"/>
    </row>
    <row r="76">
      <c r="B76" s="15" t="inlineStr">
        <is>
          <t>26/01/2026</t>
        </is>
      </c>
      <c r="C76" s="16" t="inlineStr">
        <is>
          <t>SISPAG FORNECEDORES</t>
        </is>
      </c>
      <c r="D76" s="17" t="n"/>
      <c r="E76" s="18" t="n">
        <v>-1931.49</v>
      </c>
    </row>
    <row r="77">
      <c r="B77" s="15" t="inlineStr">
        <is>
          <t>26/01/2026</t>
        </is>
      </c>
      <c r="C77" s="16" t="inlineStr">
        <is>
          <t>SALDO TOTAL DISPONÍVEL DIA</t>
        </is>
      </c>
      <c r="D77" s="17" t="n"/>
      <c r="E77" s="17" t="n"/>
    </row>
    <row r="78">
      <c r="B78" s="15" t="inlineStr">
        <is>
          <t>27/01/2026</t>
        </is>
      </c>
      <c r="C78" s="16" t="inlineStr">
        <is>
          <t>SISPAG FORNECEDORES</t>
        </is>
      </c>
      <c r="D78" s="17" t="n"/>
      <c r="E78" s="18" t="n">
        <v>-492.96</v>
      </c>
    </row>
    <row r="79">
      <c r="B79" s="15" t="inlineStr">
        <is>
          <t>27/01/2026</t>
        </is>
      </c>
      <c r="C79" s="16" t="inlineStr">
        <is>
          <t>BOLETOS RECEBIDOS  27/01S</t>
        </is>
      </c>
      <c r="D79" s="22" t="n">
        <v>5120.17</v>
      </c>
      <c r="E79" s="17" t="n"/>
    </row>
    <row r="80">
      <c r="B80" s="15" t="inlineStr">
        <is>
          <t>27/01/2026</t>
        </is>
      </c>
      <c r="C80" s="16" t="inlineStr">
        <is>
          <t>SALDO TOTAL DISPONÍVEL DIA</t>
        </is>
      </c>
      <c r="D80" s="17" t="n"/>
      <c r="E80" s="17" t="n"/>
    </row>
    <row r="81">
      <c r="B81" s="15" t="inlineStr">
        <is>
          <t>28/01/2026</t>
        </is>
      </c>
      <c r="C81" s="16" t="inlineStr">
        <is>
          <t>SISPAG FORNECEDORES PAG TIT 109004005913</t>
        </is>
      </c>
      <c r="D81" s="17" t="n"/>
      <c r="E81" s="18" t="n">
        <v>-686.3099999999999</v>
      </c>
    </row>
    <row r="82">
      <c r="B82" s="15" t="inlineStr">
        <is>
          <t>28/01/2026</t>
        </is>
      </c>
      <c r="C82" s="16" t="inlineStr">
        <is>
          <t>SALDO TOTAL DISPONÍVEL DIA</t>
        </is>
      </c>
      <c r="D82" s="17" t="n"/>
      <c r="E82" s="17" t="n"/>
    </row>
    <row r="83">
      <c r="B83" s="15" t="inlineStr">
        <is>
          <t>29/01/2026</t>
        </is>
      </c>
      <c r="C83" s="16" t="inlineStr">
        <is>
          <t>RECEBIMENTOS GUILLAUMON ADMINISTR</t>
        </is>
      </c>
      <c r="D83" s="22" t="n">
        <v>54.21</v>
      </c>
      <c r="E83" s="17" t="n"/>
    </row>
    <row r="84">
      <c r="B84" s="15" t="inlineStr">
        <is>
          <t>29/01/2026</t>
        </is>
      </c>
      <c r="C84" s="16" t="inlineStr">
        <is>
          <t>SISPAG FORNECEDORES</t>
        </is>
      </c>
      <c r="D84" s="17" t="n"/>
      <c r="E84" s="18" t="n">
        <v>-5078.35</v>
      </c>
    </row>
    <row r="85">
      <c r="B85" s="15" t="inlineStr">
        <is>
          <t>29/01/2026</t>
        </is>
      </c>
      <c r="C85" s="16" t="inlineStr">
        <is>
          <t>SISPAG FORNECEDORES</t>
        </is>
      </c>
      <c r="D85" s="17" t="n"/>
      <c r="E85" s="18" t="n">
        <v>-109.76</v>
      </c>
    </row>
    <row r="86">
      <c r="B86" s="15" t="inlineStr">
        <is>
          <t>29/01/2026</t>
        </is>
      </c>
      <c r="C86" s="16" t="inlineStr">
        <is>
          <t>SALDO TOTAL DISPONÍVEL DIA</t>
        </is>
      </c>
      <c r="D86" s="17" t="n"/>
      <c r="E86" s="17" t="n"/>
    </row>
    <row r="87">
      <c r="B87" s="15" t="inlineStr">
        <is>
          <t>30/01/2026</t>
        </is>
      </c>
      <c r="C87" s="16" t="inlineStr">
        <is>
          <t>BOLETO RECEBIDO 30/01S</t>
        </is>
      </c>
      <c r="D87" s="22" t="n">
        <v>5120.17</v>
      </c>
      <c r="E87" s="17" t="n"/>
    </row>
    <row r="88">
      <c r="B88" s="15" t="inlineStr">
        <is>
          <t>30/01/2026</t>
        </is>
      </c>
      <c r="C88" s="16" t="inlineStr">
        <is>
          <t>SISPAG FORNECEDORES</t>
        </is>
      </c>
      <c r="D88" s="17" t="n"/>
      <c r="E88" s="18" t="n">
        <v>-2144.24</v>
      </c>
    </row>
    <row r="89">
      <c r="B89" s="15" t="inlineStr">
        <is>
          <t>30/01/2026</t>
        </is>
      </c>
      <c r="C89" s="16" t="inlineStr">
        <is>
          <t>SALDO TOTAL DISPONÍVEL DIA</t>
        </is>
      </c>
      <c r="D89" s="17" t="n"/>
      <c r="E89" s="17" t="n"/>
    </row>
    <row r="90">
      <c r="B90" s="19" t="inlineStr">
        <is>
          <t>TOTAL</t>
        </is>
      </c>
      <c r="C90" s="4" t="n"/>
      <c r="D90" s="20">
        <f>SUM(D13:D89)</f>
        <v/>
      </c>
      <c r="E90" s="20">
        <f>SUM(E13:E89)</f>
        <v/>
      </c>
    </row>
    <row r="92">
      <c r="B92" s="2" t="inlineStr">
        <is>
          <t>Saldo Inicial:</t>
        </is>
      </c>
      <c r="C92" s="5" t="n">
        <v>53507.04</v>
      </c>
    </row>
    <row r="93">
      <c r="B93" s="2" t="inlineStr">
        <is>
          <t>Saldo Final:</t>
        </is>
      </c>
      <c r="C93" s="5" t="n">
        <v>40448.72</v>
      </c>
    </row>
  </sheetData>
  <mergeCells count="2">
    <mergeCell ref="B90:C90"/>
    <mergeCell ref="B2:C2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2026-03-04T17:15:28Z</dcterms:created>
  <dcterms:modified xmlns:dcterms="http://purl.org/dc/terms/" xmlns:xsi="http://www.w3.org/2001/XMLSchema-instance" xsi:type="dcterms:W3CDTF">2026-03-04T17:15:28Z</dcterms:modified>
</cp:coreProperties>
</file>